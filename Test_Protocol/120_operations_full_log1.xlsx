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Test_Protocol\"/>
    </mc:Choice>
  </mc:AlternateContent>
  <xr:revisionPtr revIDLastSave="0" documentId="13_ncr:1_{06FC65F4-76B5-4083-B8E5-FDBB12F7E0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20_operations_crack_spalling" sheetId="6" r:id="rId1"/>
    <sheet name="thickness" sheetId="4" r:id="rId2"/>
    <sheet name="Synthese" sheetId="2" r:id="rId3"/>
    <sheet name="Definitions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5" i="2" s="1"/>
  <c r="B6" i="2" s="1"/>
  <c r="W121" i="6"/>
  <c r="X121" i="6" s="1"/>
  <c r="W120" i="6"/>
  <c r="X120" i="6" s="1"/>
  <c r="W119" i="6"/>
  <c r="X119" i="6" s="1"/>
  <c r="W118" i="6"/>
  <c r="X118" i="6" s="1"/>
  <c r="W117" i="6"/>
  <c r="X117" i="6" s="1"/>
  <c r="W116" i="6"/>
  <c r="X116" i="6" s="1"/>
  <c r="W115" i="6"/>
  <c r="X115" i="6" s="1"/>
  <c r="W114" i="6"/>
  <c r="X114" i="6" s="1"/>
  <c r="W113" i="6"/>
  <c r="X113" i="6" s="1"/>
  <c r="W112" i="6"/>
  <c r="X112" i="6" s="1"/>
  <c r="W111" i="6"/>
  <c r="X111" i="6" s="1"/>
  <c r="W110" i="6"/>
  <c r="X110" i="6" s="1"/>
  <c r="W109" i="6"/>
  <c r="X109" i="6" s="1"/>
  <c r="W108" i="6"/>
  <c r="X108" i="6" s="1"/>
  <c r="W107" i="6"/>
  <c r="X107" i="6" s="1"/>
  <c r="W106" i="6"/>
  <c r="X106" i="6" s="1"/>
  <c r="W105" i="6"/>
  <c r="X105" i="6" s="1"/>
  <c r="W104" i="6"/>
  <c r="X104" i="6" s="1"/>
  <c r="W103" i="6"/>
  <c r="X103" i="6" s="1"/>
  <c r="W102" i="6"/>
  <c r="X102" i="6" s="1"/>
  <c r="W101" i="6"/>
  <c r="X101" i="6" s="1"/>
  <c r="W100" i="6"/>
  <c r="X100" i="6" s="1"/>
  <c r="W99" i="6"/>
  <c r="X99" i="6" s="1"/>
  <c r="W98" i="6"/>
  <c r="X98" i="6" s="1"/>
  <c r="W97" i="6"/>
  <c r="X97" i="6" s="1"/>
  <c r="W96" i="6"/>
  <c r="X96" i="6" s="1"/>
  <c r="W95" i="6"/>
  <c r="X95" i="6" s="1"/>
  <c r="W94" i="6"/>
  <c r="X94" i="6" s="1"/>
  <c r="W93" i="6"/>
  <c r="X93" i="6" s="1"/>
  <c r="W92" i="6"/>
  <c r="X92" i="6" s="1"/>
  <c r="W91" i="6"/>
  <c r="X91" i="6" s="1"/>
  <c r="W90" i="6"/>
  <c r="X90" i="6" s="1"/>
  <c r="W89" i="6"/>
  <c r="X89" i="6" s="1"/>
  <c r="W88" i="6"/>
  <c r="X88" i="6" s="1"/>
  <c r="W87" i="6"/>
  <c r="X87" i="6" s="1"/>
  <c r="W86" i="6"/>
  <c r="X86" i="6" s="1"/>
  <c r="W85" i="6"/>
  <c r="X85" i="6" s="1"/>
  <c r="W84" i="6"/>
  <c r="X84" i="6" s="1"/>
  <c r="W83" i="6"/>
  <c r="X83" i="6" s="1"/>
  <c r="W82" i="6"/>
  <c r="X82" i="6" s="1"/>
  <c r="W81" i="6"/>
  <c r="X81" i="6" s="1"/>
  <c r="W80" i="6"/>
  <c r="X80" i="6" s="1"/>
  <c r="W79" i="6"/>
  <c r="X79" i="6" s="1"/>
  <c r="W78" i="6"/>
  <c r="X78" i="6" s="1"/>
  <c r="W77" i="6"/>
  <c r="X77" i="6" s="1"/>
  <c r="W76" i="6"/>
  <c r="X76" i="6" s="1"/>
  <c r="W75" i="6"/>
  <c r="X75" i="6" s="1"/>
  <c r="W74" i="6"/>
  <c r="X74" i="6" s="1"/>
  <c r="W73" i="6"/>
  <c r="X73" i="6" s="1"/>
  <c r="W72" i="6"/>
  <c r="X72" i="6" s="1"/>
  <c r="W71" i="6"/>
  <c r="X71" i="6" s="1"/>
  <c r="W70" i="6"/>
  <c r="X70" i="6" s="1"/>
  <c r="W69" i="6"/>
  <c r="X69" i="6" s="1"/>
  <c r="W68" i="6"/>
  <c r="X68" i="6" s="1"/>
  <c r="W67" i="6"/>
  <c r="X67" i="6" s="1"/>
  <c r="W66" i="6"/>
  <c r="X66" i="6" s="1"/>
  <c r="W65" i="6"/>
  <c r="X65" i="6" s="1"/>
  <c r="W64" i="6"/>
  <c r="X64" i="6" s="1"/>
  <c r="W63" i="6"/>
  <c r="X63" i="6" s="1"/>
  <c r="W62" i="6"/>
  <c r="X62" i="6" s="1"/>
  <c r="W61" i="6"/>
  <c r="X61" i="6" s="1"/>
  <c r="W60" i="6"/>
  <c r="X60" i="6" s="1"/>
  <c r="W59" i="6"/>
  <c r="X59" i="6" s="1"/>
  <c r="W58" i="6"/>
  <c r="X58" i="6" s="1"/>
  <c r="W57" i="6"/>
  <c r="X57" i="6" s="1"/>
  <c r="W56" i="6"/>
  <c r="X56" i="6" s="1"/>
  <c r="W55" i="6"/>
  <c r="X55" i="6" s="1"/>
  <c r="W54" i="6"/>
  <c r="X54" i="6" s="1"/>
  <c r="W53" i="6"/>
  <c r="X53" i="6" s="1"/>
  <c r="W52" i="6"/>
  <c r="X52" i="6" s="1"/>
  <c r="W51" i="6"/>
  <c r="X51" i="6" s="1"/>
  <c r="W50" i="6"/>
  <c r="X50" i="6" s="1"/>
  <c r="W49" i="6"/>
  <c r="X49" i="6" s="1"/>
  <c r="W48" i="6"/>
  <c r="X48" i="6" s="1"/>
  <c r="W47" i="6"/>
  <c r="X47" i="6" s="1"/>
  <c r="X46" i="6"/>
  <c r="W46" i="6"/>
  <c r="W45" i="6"/>
  <c r="X45" i="6" s="1"/>
  <c r="W44" i="6"/>
  <c r="X44" i="6" s="1"/>
  <c r="W43" i="6"/>
  <c r="X43" i="6" s="1"/>
  <c r="W42" i="6"/>
  <c r="X42" i="6" s="1"/>
  <c r="W41" i="6"/>
  <c r="X41" i="6" s="1"/>
  <c r="W40" i="6"/>
  <c r="X40" i="6" s="1"/>
  <c r="W39" i="6"/>
  <c r="X39" i="6" s="1"/>
  <c r="W38" i="6"/>
  <c r="X38" i="6" s="1"/>
  <c r="W37" i="6"/>
  <c r="X37" i="6" s="1"/>
  <c r="W36" i="6"/>
  <c r="X36" i="6" s="1"/>
  <c r="W35" i="6"/>
  <c r="X35" i="6" s="1"/>
  <c r="W34" i="6"/>
  <c r="X34" i="6" s="1"/>
  <c r="W33" i="6"/>
  <c r="X33" i="6" s="1"/>
  <c r="W32" i="6"/>
  <c r="X32" i="6" s="1"/>
  <c r="W31" i="6"/>
  <c r="X31" i="6" s="1"/>
  <c r="W30" i="6"/>
  <c r="X30" i="6" s="1"/>
  <c r="W29" i="6"/>
  <c r="X29" i="6" s="1"/>
  <c r="W28" i="6"/>
  <c r="X28" i="6" s="1"/>
  <c r="W27" i="6"/>
  <c r="X27" i="6" s="1"/>
  <c r="W26" i="6"/>
  <c r="X26" i="6" s="1"/>
  <c r="W25" i="6"/>
  <c r="X25" i="6" s="1"/>
  <c r="W24" i="6"/>
  <c r="X24" i="6" s="1"/>
  <c r="W23" i="6"/>
  <c r="X23" i="6" s="1"/>
  <c r="W22" i="6"/>
  <c r="X22" i="6" s="1"/>
  <c r="W21" i="6"/>
  <c r="X21" i="6" s="1"/>
  <c r="W20" i="6"/>
  <c r="X20" i="6" s="1"/>
  <c r="W19" i="6"/>
  <c r="X19" i="6" s="1"/>
  <c r="W18" i="6"/>
  <c r="X18" i="6" s="1"/>
  <c r="W17" i="6"/>
  <c r="X17" i="6" s="1"/>
  <c r="W16" i="6"/>
  <c r="X16" i="6" s="1"/>
  <c r="W15" i="6"/>
  <c r="X15" i="6" s="1"/>
  <c r="W14" i="6"/>
  <c r="X14" i="6" s="1"/>
  <c r="W13" i="6"/>
  <c r="X13" i="6" s="1"/>
  <c r="W12" i="6"/>
  <c r="X12" i="6" s="1"/>
  <c r="W11" i="6"/>
  <c r="X11" i="6" s="1"/>
  <c r="W10" i="6"/>
  <c r="X10" i="6" s="1"/>
  <c r="W9" i="6"/>
  <c r="X9" i="6" s="1"/>
  <c r="W8" i="6"/>
  <c r="X8" i="6" s="1"/>
  <c r="W7" i="6"/>
  <c r="X7" i="6" s="1"/>
  <c r="W6" i="6"/>
  <c r="X6" i="6" s="1"/>
  <c r="W5" i="6"/>
  <c r="X5" i="6" s="1"/>
  <c r="W4" i="6"/>
  <c r="X4" i="6" s="1"/>
  <c r="W3" i="6"/>
  <c r="X3" i="6" s="1"/>
  <c r="W2" i="6"/>
  <c r="X2" i="6" s="1"/>
</calcChain>
</file>

<file path=xl/sharedStrings.xml><?xml version="1.0" encoding="utf-8"?>
<sst xmlns="http://schemas.openxmlformats.org/spreadsheetml/2006/main" count="3078" uniqueCount="158">
  <si>
    <t>Operation</t>
  </si>
  <si>
    <t>Technicien</t>
  </si>
  <si>
    <t>Experience</t>
  </si>
  <si>
    <t>Bande 1</t>
  </si>
  <si>
    <t>Nb defauts B1</t>
  </si>
  <si>
    <t>Type B1</t>
  </si>
  <si>
    <t>Resultat manuel B1</t>
  </si>
  <si>
    <t>Erreur mesure M B1 (mm)</t>
  </si>
  <si>
    <t>Resultat AR B1</t>
  </si>
  <si>
    <t>Erreur mesure AR B1 (mm)</t>
  </si>
  <si>
    <t>Bande 2</t>
  </si>
  <si>
    <t>Nb defauts B2</t>
  </si>
  <si>
    <t>Type B2</t>
  </si>
  <si>
    <t>Resultat manuel B2</t>
  </si>
  <si>
    <t>Erreur mesure M B2 (mm)</t>
  </si>
  <si>
    <t>Resultat AR B2</t>
  </si>
  <si>
    <t>Erreur mesure AR B2 (mm)</t>
  </si>
  <si>
    <t>Defaut confirme (n=60)</t>
  </si>
  <si>
    <t>Missed-defect Manuel (n=60)</t>
  </si>
  <si>
    <t>Missed-defect AR (n=60)</t>
  </si>
  <si>
    <t>Reduction temps (%)</t>
  </si>
  <si>
    <t>T01</t>
  </si>
  <si>
    <t>1-3 ans</t>
  </si>
  <si>
    <t>B1</t>
  </si>
  <si>
    <t>Spalling</t>
  </si>
  <si>
    <t>Manqué</t>
  </si>
  <si>
    <t>Bon</t>
  </si>
  <si>
    <t>B2</t>
  </si>
  <si>
    <t>D01</t>
  </si>
  <si>
    <t>Oui</t>
  </si>
  <si>
    <t>Non</t>
  </si>
  <si>
    <t>T02</t>
  </si>
  <si>
    <t>Mal mesuré</t>
  </si>
  <si>
    <t>Crack</t>
  </si>
  <si>
    <t>D02</t>
  </si>
  <si>
    <t>T03</t>
  </si>
  <si>
    <t>D03</t>
  </si>
  <si>
    <t>T04</t>
  </si>
  <si>
    <t>D04</t>
  </si>
  <si>
    <t>T05</t>
  </si>
  <si>
    <t>D05</t>
  </si>
  <si>
    <t>T06</t>
  </si>
  <si>
    <t>D06</t>
  </si>
  <si>
    <t>T07</t>
  </si>
  <si>
    <t>D07</t>
  </si>
  <si>
    <t>T08</t>
  </si>
  <si>
    <t>D08</t>
  </si>
  <si>
    <t>T09</t>
  </si>
  <si>
    <t>D09</t>
  </si>
  <si>
    <t>T10</t>
  </si>
  <si>
    <t>D10</t>
  </si>
  <si>
    <t>T11</t>
  </si>
  <si>
    <t>D11</t>
  </si>
  <si>
    <t>T12</t>
  </si>
  <si>
    <t>D12</t>
  </si>
  <si>
    <t>T13</t>
  </si>
  <si>
    <t>D13</t>
  </si>
  <si>
    <t>T14</t>
  </si>
  <si>
    <t>D14</t>
  </si>
  <si>
    <t>T15</t>
  </si>
  <si>
    <t>D15</t>
  </si>
  <si>
    <t>T16</t>
  </si>
  <si>
    <t>D16</t>
  </si>
  <si>
    <t>T17</t>
  </si>
  <si>
    <t>D17</t>
  </si>
  <si>
    <t>T18</t>
  </si>
  <si>
    <t>D18</t>
  </si>
  <si>
    <t>T19</t>
  </si>
  <si>
    <t>D19</t>
  </si>
  <si>
    <t>T20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</si>
  <si>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</si>
  <si>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</si>
  <si>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</si>
  <si>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</si>
  <si>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</si>
  <si>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</si>
  <si>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</si>
  <si>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</si>
  <si>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</si>
  <si>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</si>
  <si>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</si>
  <si>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</si>
  <si>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</si>
  <si>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</si>
  <si>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</si>
  <si>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</si>
  <si>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</si>
  <si>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</si>
  <si>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</si>
  <si>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</si>
  <si>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</si>
  <si>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3-5 ans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</si>
  <si>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</si>
  <si>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</si>
  <si>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</si>
  <si>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</si>
  <si>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</si>
  <si>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</si>
  <si>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</si>
  <si>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</si>
  <si>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</si>
  <si>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</si>
  <si>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</si>
  <si>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</si>
  <si>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</si>
  <si>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</si>
  <si>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</si>
  <si>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</si>
  <si>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</si>
  <si>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</si>
  <si>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</si>
  <si>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</si>
  <si>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-</t>
  </si>
  <si>
    <t>5-7 ans</t>
  </si>
  <si>
    <t>Indicateur</t>
  </si>
  <si>
    <t>Valeur</t>
  </si>
  <si>
    <t>Nombre d'operations completes</t>
  </si>
  <si>
    <t>Reduction moyenne (%)</t>
  </si>
  <si>
    <t>Nombre de defauts confirmes</t>
  </si>
  <si>
    <t>Missed-defect manuel</t>
  </si>
  <si>
    <t>Taux missed-defect manuel</t>
  </si>
  <si>
    <t>Missed-defect AR</t>
  </si>
  <si>
    <t>Taux missed-defect AR</t>
  </si>
  <si>
    <t>Element</t>
  </si>
  <si>
    <t>Definition</t>
  </si>
  <si>
    <t>Unite d'observation du temps</t>
  </si>
  <si>
    <t>Operation complete</t>
  </si>
  <si>
    <t>Definition d'une operation</t>
  </si>
  <si>
    <t>Inspection complete des deux bandes B1 + B2 par un technicien</t>
  </si>
  <si>
    <t>Nombre d'operations pour le temps</t>
  </si>
  <si>
    <t>n = 120</t>
  </si>
  <si>
    <t>Denominateur missed-defect</t>
  </si>
  <si>
    <t>60 defauts confirmes</t>
  </si>
  <si>
    <t>Regle missed-defect</t>
  </si>
  <si>
    <t>Defaut manque OU defaut detecte mais mal mesure</t>
  </si>
  <si>
    <t>Tolerance de mesure</t>
  </si>
  <si>
    <t>3 mm</t>
  </si>
  <si>
    <t>Temps moyen cible sans AR</t>
  </si>
  <si>
    <t>Temps moyen cible avec AR</t>
  </si>
  <si>
    <t>N</t>
  </si>
  <si>
    <t>Bande</t>
  </si>
  <si>
    <t>Type défaut</t>
  </si>
  <si>
    <t>Épaisseur réelle (mm)</t>
  </si>
  <si>
    <t>Épaisseur manuelle (mm)</t>
  </si>
  <si>
    <t>Erreur M (mm)</t>
  </si>
  <si>
    <t>Résultat AR</t>
  </si>
  <si>
    <t>Épaisseur AR (mm)</t>
  </si>
  <si>
    <t>Erreur AR (mm)</t>
  </si>
  <si>
    <t>Tolérance (mm)</t>
  </si>
  <si>
    <t>—</t>
  </si>
  <si>
    <t>Temps sans AR (min)</t>
  </si>
  <si>
    <t>Temps avec AR (min)</t>
  </si>
  <si>
    <t>Gain temps (min)</t>
  </si>
  <si>
    <t>Temps moyen sans AR (min)</t>
  </si>
  <si>
    <t>Temps moyen avec AR (min)</t>
  </si>
  <si>
    <t>Gain moyen (min/operation)</t>
  </si>
  <si>
    <t>30 min</t>
  </si>
  <si>
    <t>17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</si>
</sst>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20_operations_full_log.xlsx" TargetMode="External"/><Relationship Id="rId2" Type="http://schemas.openxmlformats.org/officeDocument/2006/relationships/externalLinkPath" Target="file:///C:\Users\usermco\Downloads\120_operations_full_log.xlsx" TargetMode="External"/><Relationship Id="rId1" Type="http://schemas.openxmlformats.org/officeDocument/2006/relationships/externalLinkPath" Target="/Users/usermco/Downloads/120_operations_full_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0_operations_crack_spalling"/>
      <sheetName val="thickness"/>
      <sheetName val="Synthese"/>
      <sheetName val="Definitions"/>
    </sheetNames>
    <sheetDataSet>
      <sheetData sheetId="0">
        <row r="2">
          <cell r="U2">
            <v>24</v>
          </cell>
          <cell r="V2">
            <v>17</v>
          </cell>
        </row>
        <row r="3">
          <cell r="U3">
            <v>33</v>
          </cell>
          <cell r="V3">
            <v>20</v>
          </cell>
        </row>
        <row r="4">
          <cell r="U4">
            <v>29</v>
          </cell>
          <cell r="V4">
            <v>16</v>
          </cell>
        </row>
        <row r="5">
          <cell r="U5">
            <v>28</v>
          </cell>
          <cell r="V5">
            <v>15</v>
          </cell>
        </row>
        <row r="6">
          <cell r="U6">
            <v>27</v>
          </cell>
          <cell r="V6">
            <v>15</v>
          </cell>
        </row>
        <row r="7">
          <cell r="U7">
            <v>35</v>
          </cell>
          <cell r="V7">
            <v>16</v>
          </cell>
        </row>
        <row r="8">
          <cell r="U8">
            <v>37</v>
          </cell>
          <cell r="V8">
            <v>20</v>
          </cell>
        </row>
        <row r="9">
          <cell r="U9">
            <v>24</v>
          </cell>
          <cell r="V9">
            <v>18</v>
          </cell>
        </row>
        <row r="10">
          <cell r="U10">
            <v>33</v>
          </cell>
          <cell r="V10">
            <v>18</v>
          </cell>
        </row>
        <row r="11">
          <cell r="U11">
            <v>26</v>
          </cell>
          <cell r="V11">
            <v>16</v>
          </cell>
        </row>
        <row r="12">
          <cell r="U12">
            <v>39</v>
          </cell>
          <cell r="V12">
            <v>23</v>
          </cell>
        </row>
        <row r="13">
          <cell r="U13">
            <v>38</v>
          </cell>
          <cell r="V13">
            <v>20</v>
          </cell>
        </row>
        <row r="14">
          <cell r="U14">
            <v>32</v>
          </cell>
          <cell r="V14">
            <v>19</v>
          </cell>
        </row>
        <row r="15">
          <cell r="U15">
            <v>35</v>
          </cell>
          <cell r="V15">
            <v>21</v>
          </cell>
        </row>
        <row r="16">
          <cell r="U16">
            <v>30</v>
          </cell>
          <cell r="V16">
            <v>15</v>
          </cell>
        </row>
        <row r="17">
          <cell r="U17">
            <v>36</v>
          </cell>
          <cell r="V17">
            <v>20</v>
          </cell>
        </row>
        <row r="18">
          <cell r="U18">
            <v>29</v>
          </cell>
          <cell r="V18">
            <v>18</v>
          </cell>
        </row>
        <row r="19">
          <cell r="U19">
            <v>27</v>
          </cell>
          <cell r="V19">
            <v>19</v>
          </cell>
        </row>
        <row r="20">
          <cell r="U20">
            <v>26</v>
          </cell>
          <cell r="V20">
            <v>15</v>
          </cell>
        </row>
        <row r="21">
          <cell r="U21">
            <v>25</v>
          </cell>
          <cell r="V21">
            <v>17</v>
          </cell>
        </row>
        <row r="22">
          <cell r="U22">
            <v>30</v>
          </cell>
          <cell r="V22">
            <v>18</v>
          </cell>
        </row>
        <row r="23">
          <cell r="U23">
            <v>29</v>
          </cell>
          <cell r="V23">
            <v>16</v>
          </cell>
        </row>
        <row r="24">
          <cell r="U24">
            <v>33</v>
          </cell>
          <cell r="V24">
            <v>15</v>
          </cell>
        </row>
        <row r="25">
          <cell r="U25">
            <v>21</v>
          </cell>
          <cell r="V25">
            <v>14</v>
          </cell>
        </row>
        <row r="26">
          <cell r="U26">
            <v>29</v>
          </cell>
          <cell r="V26">
            <v>20</v>
          </cell>
        </row>
        <row r="27">
          <cell r="U27">
            <v>27</v>
          </cell>
          <cell r="V27">
            <v>14</v>
          </cell>
        </row>
        <row r="28">
          <cell r="U28">
            <v>24</v>
          </cell>
          <cell r="V28">
            <v>13</v>
          </cell>
        </row>
        <row r="29">
          <cell r="U29">
            <v>32</v>
          </cell>
          <cell r="V29">
            <v>16</v>
          </cell>
        </row>
        <row r="30">
          <cell r="U30">
            <v>29</v>
          </cell>
          <cell r="V30">
            <v>14</v>
          </cell>
        </row>
        <row r="31">
          <cell r="U31">
            <v>26</v>
          </cell>
          <cell r="V31">
            <v>14</v>
          </cell>
        </row>
        <row r="32">
          <cell r="U32">
            <v>25</v>
          </cell>
          <cell r="V32">
            <v>19</v>
          </cell>
        </row>
        <row r="33">
          <cell r="U33">
            <v>37</v>
          </cell>
          <cell r="V33">
            <v>17</v>
          </cell>
        </row>
        <row r="34">
          <cell r="U34">
            <v>35</v>
          </cell>
          <cell r="V34">
            <v>19</v>
          </cell>
        </row>
        <row r="35">
          <cell r="U35">
            <v>32</v>
          </cell>
          <cell r="V35">
            <v>16</v>
          </cell>
        </row>
        <row r="36">
          <cell r="U36">
            <v>27</v>
          </cell>
          <cell r="V36">
            <v>17</v>
          </cell>
        </row>
        <row r="37">
          <cell r="U37">
            <v>38</v>
          </cell>
          <cell r="V37">
            <v>16</v>
          </cell>
        </row>
        <row r="38">
          <cell r="U38">
            <v>31</v>
          </cell>
          <cell r="V38">
            <v>19</v>
          </cell>
        </row>
        <row r="39">
          <cell r="U39">
            <v>29</v>
          </cell>
          <cell r="V39">
            <v>16</v>
          </cell>
        </row>
        <row r="40">
          <cell r="U40">
            <v>37</v>
          </cell>
          <cell r="V40">
            <v>17</v>
          </cell>
        </row>
        <row r="41">
          <cell r="U41">
            <v>27</v>
          </cell>
          <cell r="V41">
            <v>18</v>
          </cell>
        </row>
        <row r="42">
          <cell r="U42">
            <v>34</v>
          </cell>
          <cell r="V42">
            <v>18</v>
          </cell>
        </row>
        <row r="43">
          <cell r="U43">
            <v>26</v>
          </cell>
          <cell r="V43">
            <v>16</v>
          </cell>
        </row>
        <row r="44">
          <cell r="U44">
            <v>26</v>
          </cell>
          <cell r="V44">
            <v>14</v>
          </cell>
        </row>
        <row r="45">
          <cell r="U45">
            <v>34</v>
          </cell>
          <cell r="V45">
            <v>20</v>
          </cell>
        </row>
        <row r="46">
          <cell r="U46">
            <v>25</v>
          </cell>
          <cell r="V46">
            <v>15</v>
          </cell>
        </row>
        <row r="47">
          <cell r="U47">
            <v>30</v>
          </cell>
          <cell r="V47">
            <v>14</v>
          </cell>
        </row>
        <row r="48">
          <cell r="U48">
            <v>31</v>
          </cell>
          <cell r="V48">
            <v>21</v>
          </cell>
        </row>
        <row r="49">
          <cell r="U49">
            <v>24</v>
          </cell>
          <cell r="V49">
            <v>12</v>
          </cell>
        </row>
        <row r="50">
          <cell r="U50">
            <v>34</v>
          </cell>
          <cell r="V50">
            <v>15</v>
          </cell>
        </row>
        <row r="51">
          <cell r="U51">
            <v>31</v>
          </cell>
          <cell r="V51">
            <v>17</v>
          </cell>
        </row>
        <row r="52">
          <cell r="U52">
            <v>32</v>
          </cell>
          <cell r="V52">
            <v>15</v>
          </cell>
        </row>
        <row r="53">
          <cell r="U53">
            <v>28</v>
          </cell>
          <cell r="V53">
            <v>15</v>
          </cell>
        </row>
        <row r="54">
          <cell r="U54">
            <v>28</v>
          </cell>
          <cell r="V54">
            <v>17</v>
          </cell>
        </row>
        <row r="55">
          <cell r="U55">
            <v>30</v>
          </cell>
          <cell r="V55">
            <v>20</v>
          </cell>
        </row>
        <row r="56">
          <cell r="U56">
            <v>29</v>
          </cell>
          <cell r="V56">
            <v>20</v>
          </cell>
        </row>
        <row r="57">
          <cell r="U57">
            <v>33</v>
          </cell>
          <cell r="V57">
            <v>15</v>
          </cell>
        </row>
        <row r="58">
          <cell r="U58">
            <v>31</v>
          </cell>
          <cell r="V58">
            <v>20</v>
          </cell>
        </row>
        <row r="59">
          <cell r="U59">
            <v>28</v>
          </cell>
          <cell r="V59">
            <v>14</v>
          </cell>
        </row>
        <row r="60">
          <cell r="U60">
            <v>21</v>
          </cell>
          <cell r="V60">
            <v>17</v>
          </cell>
        </row>
        <row r="61">
          <cell r="U61">
            <v>35</v>
          </cell>
          <cell r="V61">
            <v>17</v>
          </cell>
        </row>
        <row r="62">
          <cell r="U62">
            <v>30</v>
          </cell>
          <cell r="V62">
            <v>19</v>
          </cell>
        </row>
        <row r="63">
          <cell r="U63">
            <v>27</v>
          </cell>
          <cell r="V63">
            <v>18</v>
          </cell>
        </row>
        <row r="64">
          <cell r="U64">
            <v>30</v>
          </cell>
          <cell r="V64">
            <v>19</v>
          </cell>
        </row>
        <row r="65">
          <cell r="U65">
            <v>22</v>
          </cell>
          <cell r="V65">
            <v>18</v>
          </cell>
        </row>
        <row r="66">
          <cell r="U66">
            <v>37</v>
          </cell>
          <cell r="V66">
            <v>17</v>
          </cell>
        </row>
        <row r="67">
          <cell r="U67">
            <v>39</v>
          </cell>
          <cell r="V67">
            <v>20</v>
          </cell>
        </row>
        <row r="68">
          <cell r="U68">
            <v>22</v>
          </cell>
          <cell r="V68">
            <v>17</v>
          </cell>
        </row>
        <row r="69">
          <cell r="U69">
            <v>27</v>
          </cell>
          <cell r="V69">
            <v>13</v>
          </cell>
        </row>
        <row r="70">
          <cell r="U70">
            <v>34</v>
          </cell>
          <cell r="V70">
            <v>19</v>
          </cell>
        </row>
        <row r="71">
          <cell r="U71">
            <v>26</v>
          </cell>
          <cell r="V71">
            <v>15</v>
          </cell>
        </row>
        <row r="72">
          <cell r="U72">
            <v>31</v>
          </cell>
          <cell r="V72">
            <v>15</v>
          </cell>
        </row>
        <row r="73">
          <cell r="U73">
            <v>28</v>
          </cell>
          <cell r="V73">
            <v>17</v>
          </cell>
        </row>
        <row r="74">
          <cell r="U74">
            <v>35</v>
          </cell>
          <cell r="V74">
            <v>18</v>
          </cell>
        </row>
        <row r="75">
          <cell r="U75">
            <v>38</v>
          </cell>
          <cell r="V75">
            <v>20</v>
          </cell>
        </row>
        <row r="76">
          <cell r="U76">
            <v>37</v>
          </cell>
          <cell r="V76">
            <v>20</v>
          </cell>
        </row>
        <row r="77">
          <cell r="U77">
            <v>32</v>
          </cell>
          <cell r="V77">
            <v>18</v>
          </cell>
        </row>
        <row r="78">
          <cell r="U78">
            <v>24</v>
          </cell>
          <cell r="V78">
            <v>18</v>
          </cell>
        </row>
        <row r="79">
          <cell r="U79">
            <v>38</v>
          </cell>
          <cell r="V79">
            <v>17</v>
          </cell>
        </row>
        <row r="80">
          <cell r="U80">
            <v>21</v>
          </cell>
          <cell r="V80">
            <v>13</v>
          </cell>
        </row>
        <row r="81">
          <cell r="U81">
            <v>26</v>
          </cell>
          <cell r="V81">
            <v>15</v>
          </cell>
        </row>
        <row r="82">
          <cell r="U82">
            <v>26</v>
          </cell>
          <cell r="V82">
            <v>18</v>
          </cell>
        </row>
        <row r="83">
          <cell r="U83">
            <v>33</v>
          </cell>
          <cell r="V83">
            <v>19</v>
          </cell>
        </row>
        <row r="84">
          <cell r="U84">
            <v>30</v>
          </cell>
          <cell r="V84">
            <v>15</v>
          </cell>
        </row>
        <row r="85">
          <cell r="U85">
            <v>22</v>
          </cell>
          <cell r="V85">
            <v>17</v>
          </cell>
        </row>
        <row r="86">
          <cell r="U86">
            <v>21</v>
          </cell>
          <cell r="V86">
            <v>16</v>
          </cell>
        </row>
        <row r="87">
          <cell r="U87">
            <v>32</v>
          </cell>
          <cell r="V87">
            <v>19</v>
          </cell>
        </row>
        <row r="88">
          <cell r="U88">
            <v>30</v>
          </cell>
          <cell r="V88">
            <v>14</v>
          </cell>
        </row>
        <row r="89">
          <cell r="U89">
            <v>32</v>
          </cell>
          <cell r="V89">
            <v>15</v>
          </cell>
        </row>
        <row r="90">
          <cell r="U90">
            <v>31</v>
          </cell>
          <cell r="V90">
            <v>20</v>
          </cell>
        </row>
        <row r="91">
          <cell r="U91">
            <v>37</v>
          </cell>
          <cell r="V91">
            <v>22</v>
          </cell>
        </row>
        <row r="92">
          <cell r="U92">
            <v>38</v>
          </cell>
          <cell r="V92">
            <v>17</v>
          </cell>
        </row>
        <row r="93">
          <cell r="U93">
            <v>24</v>
          </cell>
          <cell r="V93">
            <v>16</v>
          </cell>
        </row>
        <row r="94">
          <cell r="U94">
            <v>38</v>
          </cell>
          <cell r="V94">
            <v>17</v>
          </cell>
        </row>
        <row r="95">
          <cell r="U95">
            <v>35</v>
          </cell>
          <cell r="V95">
            <v>18</v>
          </cell>
        </row>
        <row r="96">
          <cell r="U96">
            <v>33</v>
          </cell>
          <cell r="V96">
            <v>14</v>
          </cell>
        </row>
        <row r="97">
          <cell r="U97">
            <v>33</v>
          </cell>
          <cell r="V97">
            <v>16</v>
          </cell>
        </row>
        <row r="98">
          <cell r="U98">
            <v>31</v>
          </cell>
          <cell r="V98">
            <v>16</v>
          </cell>
        </row>
        <row r="99">
          <cell r="U99">
            <v>38</v>
          </cell>
          <cell r="V99">
            <v>22</v>
          </cell>
        </row>
        <row r="100">
          <cell r="U100">
            <v>25</v>
          </cell>
          <cell r="V100">
            <v>16</v>
          </cell>
        </row>
        <row r="101">
          <cell r="U101">
            <v>32</v>
          </cell>
          <cell r="V101">
            <v>15</v>
          </cell>
        </row>
        <row r="102">
          <cell r="U102">
            <v>36</v>
          </cell>
          <cell r="V102">
            <v>18</v>
          </cell>
        </row>
        <row r="103">
          <cell r="U103">
            <v>23</v>
          </cell>
          <cell r="V103">
            <v>15</v>
          </cell>
        </row>
        <row r="104">
          <cell r="U104">
            <v>32</v>
          </cell>
          <cell r="V104">
            <v>18</v>
          </cell>
        </row>
        <row r="105">
          <cell r="U105">
            <v>28</v>
          </cell>
          <cell r="V105">
            <v>17</v>
          </cell>
        </row>
        <row r="106">
          <cell r="U106">
            <v>35</v>
          </cell>
          <cell r="V106">
            <v>18</v>
          </cell>
        </row>
        <row r="107">
          <cell r="U107">
            <v>22</v>
          </cell>
          <cell r="V107">
            <v>14</v>
          </cell>
        </row>
        <row r="108">
          <cell r="U108">
            <v>32</v>
          </cell>
          <cell r="V108">
            <v>18</v>
          </cell>
        </row>
        <row r="109">
          <cell r="U109">
            <v>36</v>
          </cell>
          <cell r="V109">
            <v>22</v>
          </cell>
        </row>
        <row r="110">
          <cell r="U110">
            <v>32</v>
          </cell>
          <cell r="V110">
            <v>18</v>
          </cell>
        </row>
        <row r="111">
          <cell r="U111">
            <v>27</v>
          </cell>
          <cell r="V111">
            <v>19</v>
          </cell>
        </row>
        <row r="112">
          <cell r="U112">
            <v>33</v>
          </cell>
          <cell r="V112">
            <v>14</v>
          </cell>
        </row>
        <row r="113">
          <cell r="U113">
            <v>27</v>
          </cell>
          <cell r="V113">
            <v>14</v>
          </cell>
        </row>
        <row r="114">
          <cell r="U114">
            <v>33</v>
          </cell>
          <cell r="V114">
            <v>20</v>
          </cell>
        </row>
        <row r="115">
          <cell r="U115">
            <v>23</v>
          </cell>
          <cell r="V115">
            <v>16</v>
          </cell>
        </row>
        <row r="116">
          <cell r="U116">
            <v>26</v>
          </cell>
          <cell r="V116">
            <v>16</v>
          </cell>
        </row>
        <row r="117">
          <cell r="U117">
            <v>21</v>
          </cell>
          <cell r="V117">
            <v>14</v>
          </cell>
        </row>
        <row r="118">
          <cell r="U118">
            <v>22</v>
          </cell>
          <cell r="V118">
            <v>13</v>
          </cell>
        </row>
        <row r="119">
          <cell r="U119">
            <v>31</v>
          </cell>
          <cell r="V119">
            <v>18</v>
          </cell>
        </row>
        <row r="120">
          <cell r="U120">
            <v>25</v>
          </cell>
          <cell r="V120">
            <v>15</v>
          </cell>
        </row>
        <row r="121">
          <cell r="U121">
            <v>30</v>
          </cell>
          <cell r="V121">
            <v>17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893-5CF8-4BF1-B8CE-B673D8E1C972}">
  <dimension ref="A1:X121"/>
  <sheetViews>
    <sheetView tabSelected="1" workbookViewId="0">
      <selection activeCell="F27" sqref="F27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150</v>
      </c>
      <c r="V1" s="2" t="s">
        <v>151</v>
      </c>
      <c r="W1" s="2" t="s">
        <v>152</v>
      </c>
      <c r="X1" s="2" t="s">
        <v>20</v>
      </c>
    </row>
    <row r="2" spans="1:24" x14ac:dyDescent="0.35">
      <c r="A2">
        <v>1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 t="s">
        <v>25</v>
      </c>
      <c r="I2" t="s">
        <v>26</v>
      </c>
      <c r="J2">
        <v>1.7</v>
      </c>
      <c r="K2" t="s">
        <v>27</v>
      </c>
      <c r="L2">
        <v>2</v>
      </c>
      <c r="M2" t="s">
        <v>24</v>
      </c>
      <c r="N2" t="s">
        <v>25</v>
      </c>
      <c r="P2" t="s">
        <v>26</v>
      </c>
      <c r="Q2">
        <v>1.7</v>
      </c>
      <c r="R2" t="s">
        <v>28</v>
      </c>
      <c r="S2" t="s">
        <v>29</v>
      </c>
      <c r="T2" t="s">
        <v>30</v>
      </c>
      <c r="U2" s="3">
        <v>24</v>
      </c>
      <c r="V2" s="3">
        <v>17</v>
      </c>
      <c r="W2" s="3">
        <f t="shared" ref="W2:W65" si="0">U2-V2</f>
        <v>7</v>
      </c>
      <c r="X2" s="4">
        <f t="shared" ref="X2:X65" si="1">ROUND(W2/U2*100,1)</f>
        <v>29.2</v>
      </c>
    </row>
    <row r="3" spans="1:24" x14ac:dyDescent="0.35">
      <c r="A3">
        <v>2</v>
      </c>
      <c r="B3" t="s">
        <v>31</v>
      </c>
      <c r="C3" t="s">
        <v>22</v>
      </c>
      <c r="D3" t="s">
        <v>23</v>
      </c>
      <c r="E3">
        <v>3</v>
      </c>
      <c r="F3" t="s">
        <v>24</v>
      </c>
      <c r="G3" t="s">
        <v>26</v>
      </c>
      <c r="H3">
        <v>1.2</v>
      </c>
      <c r="I3" t="s">
        <v>32</v>
      </c>
      <c r="J3">
        <v>4.4000000000000004</v>
      </c>
      <c r="K3" t="s">
        <v>27</v>
      </c>
      <c r="L3">
        <v>3</v>
      </c>
      <c r="M3" t="s">
        <v>33</v>
      </c>
      <c r="N3" t="s">
        <v>26</v>
      </c>
      <c r="O3">
        <v>1.2</v>
      </c>
      <c r="P3" t="s">
        <v>32</v>
      </c>
      <c r="Q3">
        <v>4.4000000000000004</v>
      </c>
      <c r="R3" t="s">
        <v>34</v>
      </c>
      <c r="S3" t="s">
        <v>30</v>
      </c>
      <c r="T3" t="s">
        <v>29</v>
      </c>
      <c r="U3" s="3">
        <v>33</v>
      </c>
      <c r="V3" s="3">
        <v>20</v>
      </c>
      <c r="W3" s="3">
        <f t="shared" si="0"/>
        <v>13</v>
      </c>
      <c r="X3" s="4">
        <f t="shared" si="1"/>
        <v>39.4</v>
      </c>
    </row>
    <row r="4" spans="1:24" x14ac:dyDescent="0.35">
      <c r="A4">
        <v>3</v>
      </c>
      <c r="B4" t="s">
        <v>35</v>
      </c>
      <c r="C4" t="s">
        <v>22</v>
      </c>
      <c r="D4" t="s">
        <v>23</v>
      </c>
      <c r="E4">
        <v>3</v>
      </c>
      <c r="F4" t="s">
        <v>24</v>
      </c>
      <c r="G4" t="s">
        <v>26</v>
      </c>
      <c r="H4">
        <v>2.5</v>
      </c>
      <c r="I4" t="s">
        <v>25</v>
      </c>
      <c r="K4" t="s">
        <v>27</v>
      </c>
      <c r="L4">
        <v>2</v>
      </c>
      <c r="M4" t="s">
        <v>33</v>
      </c>
      <c r="N4" t="s">
        <v>26</v>
      </c>
      <c r="O4">
        <v>2.5</v>
      </c>
      <c r="P4" t="s">
        <v>25</v>
      </c>
      <c r="R4" t="s">
        <v>36</v>
      </c>
      <c r="S4" t="s">
        <v>30</v>
      </c>
      <c r="T4" t="s">
        <v>29</v>
      </c>
      <c r="U4" s="3">
        <v>29</v>
      </c>
      <c r="V4" s="3">
        <v>16</v>
      </c>
      <c r="W4" s="3">
        <f t="shared" si="0"/>
        <v>13</v>
      </c>
      <c r="X4" s="4">
        <f t="shared" si="1"/>
        <v>44.8</v>
      </c>
    </row>
    <row r="5" spans="1:24" x14ac:dyDescent="0.35">
      <c r="A5">
        <v>4</v>
      </c>
      <c r="B5" t="s">
        <v>37</v>
      </c>
      <c r="C5" t="s">
        <v>22</v>
      </c>
      <c r="D5" t="s">
        <v>23</v>
      </c>
      <c r="E5">
        <v>1</v>
      </c>
      <c r="F5" t="s">
        <v>24</v>
      </c>
      <c r="G5" t="s">
        <v>25</v>
      </c>
      <c r="I5" t="s">
        <v>26</v>
      </c>
      <c r="J5">
        <v>2</v>
      </c>
      <c r="K5" t="s">
        <v>27</v>
      </c>
      <c r="L5">
        <v>2</v>
      </c>
      <c r="M5" t="s">
        <v>24</v>
      </c>
      <c r="N5" t="s">
        <v>25</v>
      </c>
      <c r="P5" t="s">
        <v>26</v>
      </c>
      <c r="Q5">
        <v>2</v>
      </c>
      <c r="R5" t="s">
        <v>38</v>
      </c>
      <c r="S5" t="s">
        <v>29</v>
      </c>
      <c r="T5" t="s">
        <v>30</v>
      </c>
      <c r="U5" s="3">
        <v>28</v>
      </c>
      <c r="V5" s="3">
        <v>15</v>
      </c>
      <c r="W5" s="3">
        <f t="shared" si="0"/>
        <v>13</v>
      </c>
      <c r="X5" s="4">
        <f t="shared" si="1"/>
        <v>46.4</v>
      </c>
    </row>
    <row r="6" spans="1:24" x14ac:dyDescent="0.35">
      <c r="A6">
        <v>5</v>
      </c>
      <c r="B6" t="s">
        <v>39</v>
      </c>
      <c r="C6" t="s">
        <v>22</v>
      </c>
      <c r="D6" t="s">
        <v>23</v>
      </c>
      <c r="E6">
        <v>3</v>
      </c>
      <c r="F6" t="s">
        <v>33</v>
      </c>
      <c r="G6" t="s">
        <v>32</v>
      </c>
      <c r="H6">
        <v>5</v>
      </c>
      <c r="I6" t="s">
        <v>26</v>
      </c>
      <c r="J6">
        <v>2.1</v>
      </c>
      <c r="K6" t="s">
        <v>27</v>
      </c>
      <c r="L6">
        <v>3</v>
      </c>
      <c r="M6" t="s">
        <v>24</v>
      </c>
      <c r="N6" t="s">
        <v>32</v>
      </c>
      <c r="O6">
        <v>5</v>
      </c>
      <c r="P6" t="s">
        <v>26</v>
      </c>
      <c r="Q6">
        <v>2.1</v>
      </c>
      <c r="R6" t="s">
        <v>40</v>
      </c>
      <c r="S6" t="s">
        <v>29</v>
      </c>
      <c r="T6" t="s">
        <v>30</v>
      </c>
      <c r="U6" s="3">
        <v>27</v>
      </c>
      <c r="V6" s="3">
        <v>15</v>
      </c>
      <c r="W6" s="3">
        <f t="shared" si="0"/>
        <v>12</v>
      </c>
      <c r="X6" s="4">
        <f t="shared" si="1"/>
        <v>44.4</v>
      </c>
    </row>
    <row r="7" spans="1:24" x14ac:dyDescent="0.35">
      <c r="A7">
        <v>6</v>
      </c>
      <c r="B7" t="s">
        <v>41</v>
      </c>
      <c r="C7" t="s">
        <v>22</v>
      </c>
      <c r="D7" t="s">
        <v>23</v>
      </c>
      <c r="E7">
        <v>3</v>
      </c>
      <c r="F7" t="s">
        <v>33</v>
      </c>
      <c r="G7" t="s">
        <v>26</v>
      </c>
      <c r="H7">
        <v>2.2000000000000002</v>
      </c>
      <c r="I7" t="s">
        <v>32</v>
      </c>
      <c r="J7">
        <v>3.9</v>
      </c>
      <c r="K7" t="s">
        <v>27</v>
      </c>
      <c r="L7">
        <v>3</v>
      </c>
      <c r="M7" t="s">
        <v>33</v>
      </c>
      <c r="N7" t="s">
        <v>26</v>
      </c>
      <c r="O7">
        <v>2.2000000000000002</v>
      </c>
      <c r="P7" t="s">
        <v>32</v>
      </c>
      <c r="Q7">
        <v>3.9</v>
      </c>
      <c r="R7" t="s">
        <v>42</v>
      </c>
      <c r="S7" t="s">
        <v>30</v>
      </c>
      <c r="T7" t="s">
        <v>29</v>
      </c>
      <c r="U7" s="3">
        <v>35</v>
      </c>
      <c r="V7" s="3">
        <v>16</v>
      </c>
      <c r="W7" s="3">
        <f t="shared" si="0"/>
        <v>19</v>
      </c>
      <c r="X7" s="4">
        <f t="shared" si="1"/>
        <v>54.3</v>
      </c>
    </row>
    <row r="8" spans="1:24" x14ac:dyDescent="0.35">
      <c r="A8">
        <v>7</v>
      </c>
      <c r="B8" t="s">
        <v>43</v>
      </c>
      <c r="C8" t="s">
        <v>22</v>
      </c>
      <c r="D8" t="s">
        <v>23</v>
      </c>
      <c r="E8">
        <v>2</v>
      </c>
      <c r="F8" t="s">
        <v>33</v>
      </c>
      <c r="G8" t="s">
        <v>32</v>
      </c>
      <c r="H8">
        <v>3.4</v>
      </c>
      <c r="I8" t="s">
        <v>32</v>
      </c>
      <c r="J8">
        <v>3.2</v>
      </c>
      <c r="K8" t="s">
        <v>27</v>
      </c>
      <c r="L8">
        <v>2</v>
      </c>
      <c r="M8" t="s">
        <v>24</v>
      </c>
      <c r="N8" t="s">
        <v>32</v>
      </c>
      <c r="O8">
        <v>3.4</v>
      </c>
      <c r="P8" t="s">
        <v>32</v>
      </c>
      <c r="Q8">
        <v>3.2</v>
      </c>
      <c r="R8" t="s">
        <v>44</v>
      </c>
      <c r="S8" t="s">
        <v>29</v>
      </c>
      <c r="T8" t="s">
        <v>29</v>
      </c>
      <c r="U8" s="3">
        <v>37</v>
      </c>
      <c r="V8" s="3">
        <v>20</v>
      </c>
      <c r="W8" s="3">
        <f t="shared" si="0"/>
        <v>17</v>
      </c>
      <c r="X8" s="4">
        <f t="shared" si="1"/>
        <v>45.9</v>
      </c>
    </row>
    <row r="9" spans="1:24" x14ac:dyDescent="0.35">
      <c r="A9">
        <v>8</v>
      </c>
      <c r="B9" t="s">
        <v>45</v>
      </c>
      <c r="C9" t="s">
        <v>22</v>
      </c>
      <c r="D9" t="s">
        <v>23</v>
      </c>
      <c r="E9">
        <v>1</v>
      </c>
      <c r="F9" t="s">
        <v>33</v>
      </c>
      <c r="G9" t="s">
        <v>32</v>
      </c>
      <c r="H9">
        <v>3.7</v>
      </c>
      <c r="I9" t="s">
        <v>26</v>
      </c>
      <c r="J9">
        <v>1.3</v>
      </c>
      <c r="K9" t="s">
        <v>27</v>
      </c>
      <c r="L9">
        <v>2</v>
      </c>
      <c r="M9" t="s">
        <v>33</v>
      </c>
      <c r="N9" t="s">
        <v>32</v>
      </c>
      <c r="O9">
        <v>3.7</v>
      </c>
      <c r="P9" t="s">
        <v>26</v>
      </c>
      <c r="Q9">
        <v>1.3</v>
      </c>
      <c r="R9" t="s">
        <v>46</v>
      </c>
      <c r="S9" t="s">
        <v>29</v>
      </c>
      <c r="T9" t="s">
        <v>30</v>
      </c>
      <c r="U9" s="3">
        <v>24</v>
      </c>
      <c r="V9" s="3">
        <v>18</v>
      </c>
      <c r="W9" s="3">
        <f t="shared" si="0"/>
        <v>6</v>
      </c>
      <c r="X9" s="4">
        <f t="shared" si="1"/>
        <v>25</v>
      </c>
    </row>
    <row r="10" spans="1:24" x14ac:dyDescent="0.35">
      <c r="A10">
        <v>9</v>
      </c>
      <c r="B10" t="s">
        <v>47</v>
      </c>
      <c r="C10" t="s">
        <v>22</v>
      </c>
      <c r="D10" t="s">
        <v>23</v>
      </c>
      <c r="E10">
        <v>1</v>
      </c>
      <c r="F10" t="s">
        <v>33</v>
      </c>
      <c r="G10" t="s">
        <v>32</v>
      </c>
      <c r="H10">
        <v>3.5</v>
      </c>
      <c r="I10" t="s">
        <v>32</v>
      </c>
      <c r="J10">
        <v>4.3</v>
      </c>
      <c r="K10" t="s">
        <v>27</v>
      </c>
      <c r="L10">
        <v>2</v>
      </c>
      <c r="M10" t="s">
        <v>33</v>
      </c>
      <c r="N10" t="s">
        <v>32</v>
      </c>
      <c r="O10">
        <v>3.5</v>
      </c>
      <c r="P10" t="s">
        <v>32</v>
      </c>
      <c r="Q10">
        <v>4.3</v>
      </c>
      <c r="R10" t="s">
        <v>48</v>
      </c>
      <c r="S10" t="s">
        <v>29</v>
      </c>
      <c r="T10" t="s">
        <v>29</v>
      </c>
      <c r="U10" s="3">
        <v>33</v>
      </c>
      <c r="V10" s="3">
        <v>18</v>
      </c>
      <c r="W10" s="3">
        <f t="shared" si="0"/>
        <v>15</v>
      </c>
      <c r="X10" s="4">
        <f t="shared" si="1"/>
        <v>45.5</v>
      </c>
    </row>
    <row r="11" spans="1:24" x14ac:dyDescent="0.35">
      <c r="A11">
        <v>10</v>
      </c>
      <c r="B11" t="s">
        <v>49</v>
      </c>
      <c r="C11" t="s">
        <v>22</v>
      </c>
      <c r="D11" t="s">
        <v>23</v>
      </c>
      <c r="E11">
        <v>2</v>
      </c>
      <c r="F11" t="s">
        <v>24</v>
      </c>
      <c r="G11" t="s">
        <v>26</v>
      </c>
      <c r="H11">
        <v>2.5</v>
      </c>
      <c r="I11" t="s">
        <v>26</v>
      </c>
      <c r="J11">
        <v>0.6</v>
      </c>
      <c r="K11" t="s">
        <v>27</v>
      </c>
      <c r="L11">
        <v>2</v>
      </c>
      <c r="M11" t="s">
        <v>24</v>
      </c>
      <c r="N11" t="s">
        <v>26</v>
      </c>
      <c r="O11">
        <v>2.5</v>
      </c>
      <c r="P11" t="s">
        <v>26</v>
      </c>
      <c r="Q11">
        <v>0.6</v>
      </c>
      <c r="R11" t="s">
        <v>50</v>
      </c>
      <c r="S11" t="s">
        <v>30</v>
      </c>
      <c r="T11" t="s">
        <v>30</v>
      </c>
      <c r="U11" s="3">
        <v>26</v>
      </c>
      <c r="V11" s="3">
        <v>16</v>
      </c>
      <c r="W11" s="3">
        <f t="shared" si="0"/>
        <v>10</v>
      </c>
      <c r="X11" s="4">
        <f t="shared" si="1"/>
        <v>38.5</v>
      </c>
    </row>
    <row r="12" spans="1:24" x14ac:dyDescent="0.35">
      <c r="A12">
        <v>11</v>
      </c>
      <c r="B12" t="s">
        <v>51</v>
      </c>
      <c r="C12" t="s">
        <v>22</v>
      </c>
      <c r="D12" t="s">
        <v>23</v>
      </c>
      <c r="E12">
        <v>2</v>
      </c>
      <c r="F12" t="s">
        <v>24</v>
      </c>
      <c r="G12" t="s">
        <v>25</v>
      </c>
      <c r="I12" t="s">
        <v>25</v>
      </c>
      <c r="K12" t="s">
        <v>27</v>
      </c>
      <c r="L12">
        <v>1</v>
      </c>
      <c r="M12" t="s">
        <v>33</v>
      </c>
      <c r="N12" t="s">
        <v>25</v>
      </c>
      <c r="P12" t="s">
        <v>25</v>
      </c>
      <c r="R12" t="s">
        <v>52</v>
      </c>
      <c r="S12" t="s">
        <v>29</v>
      </c>
      <c r="T12" t="s">
        <v>29</v>
      </c>
      <c r="U12" s="3">
        <v>39</v>
      </c>
      <c r="V12" s="3">
        <v>23</v>
      </c>
      <c r="W12" s="3">
        <f t="shared" si="0"/>
        <v>16</v>
      </c>
      <c r="X12" s="4">
        <f t="shared" si="1"/>
        <v>41</v>
      </c>
    </row>
    <row r="13" spans="1:24" x14ac:dyDescent="0.35">
      <c r="A13">
        <v>12</v>
      </c>
      <c r="B13" t="s">
        <v>53</v>
      </c>
      <c r="C13" t="s">
        <v>22</v>
      </c>
      <c r="D13" t="s">
        <v>23</v>
      </c>
      <c r="E13">
        <v>1</v>
      </c>
      <c r="F13" t="s">
        <v>24</v>
      </c>
      <c r="G13" t="s">
        <v>32</v>
      </c>
      <c r="H13">
        <v>3.4</v>
      </c>
      <c r="I13" t="s">
        <v>26</v>
      </c>
      <c r="J13">
        <v>2.1</v>
      </c>
      <c r="K13" t="s">
        <v>27</v>
      </c>
      <c r="L13">
        <v>3</v>
      </c>
      <c r="M13" t="s">
        <v>33</v>
      </c>
      <c r="N13" t="s">
        <v>32</v>
      </c>
      <c r="O13">
        <v>3.4</v>
      </c>
      <c r="P13" t="s">
        <v>26</v>
      </c>
      <c r="Q13">
        <v>2.1</v>
      </c>
      <c r="R13" t="s">
        <v>54</v>
      </c>
      <c r="S13" t="s">
        <v>29</v>
      </c>
      <c r="T13" t="s">
        <v>30</v>
      </c>
      <c r="U13" s="3">
        <v>38</v>
      </c>
      <c r="V13" s="3">
        <v>20</v>
      </c>
      <c r="W13" s="3">
        <f t="shared" si="0"/>
        <v>18</v>
      </c>
      <c r="X13" s="4">
        <f t="shared" si="1"/>
        <v>47.4</v>
      </c>
    </row>
    <row r="14" spans="1:24" x14ac:dyDescent="0.35">
      <c r="A14">
        <v>13</v>
      </c>
      <c r="B14" t="s">
        <v>55</v>
      </c>
      <c r="C14" t="s">
        <v>22</v>
      </c>
      <c r="D14" t="s">
        <v>23</v>
      </c>
      <c r="E14">
        <v>2</v>
      </c>
      <c r="F14" t="s">
        <v>33</v>
      </c>
      <c r="G14" t="s">
        <v>32</v>
      </c>
      <c r="H14">
        <v>3.2</v>
      </c>
      <c r="I14" t="s">
        <v>26</v>
      </c>
      <c r="J14">
        <v>1.4</v>
      </c>
      <c r="K14" t="s">
        <v>27</v>
      </c>
      <c r="L14">
        <v>1</v>
      </c>
      <c r="M14" t="s">
        <v>24</v>
      </c>
      <c r="N14" t="s">
        <v>32</v>
      </c>
      <c r="O14">
        <v>3.2</v>
      </c>
      <c r="P14" t="s">
        <v>26</v>
      </c>
      <c r="Q14">
        <v>1.4</v>
      </c>
      <c r="R14" t="s">
        <v>56</v>
      </c>
      <c r="S14" t="s">
        <v>29</v>
      </c>
      <c r="T14" t="s">
        <v>30</v>
      </c>
      <c r="U14" s="3">
        <v>32</v>
      </c>
      <c r="V14" s="3">
        <v>19</v>
      </c>
      <c r="W14" s="3">
        <f t="shared" si="0"/>
        <v>13</v>
      </c>
      <c r="X14" s="4">
        <f t="shared" si="1"/>
        <v>40.6</v>
      </c>
    </row>
    <row r="15" spans="1:24" x14ac:dyDescent="0.35">
      <c r="A15">
        <v>14</v>
      </c>
      <c r="B15" t="s">
        <v>57</v>
      </c>
      <c r="C15" t="s">
        <v>22</v>
      </c>
      <c r="D15" t="s">
        <v>23</v>
      </c>
      <c r="E15">
        <v>1</v>
      </c>
      <c r="F15" t="s">
        <v>33</v>
      </c>
      <c r="G15" t="s">
        <v>26</v>
      </c>
      <c r="H15">
        <v>1.5</v>
      </c>
      <c r="I15" t="s">
        <v>26</v>
      </c>
      <c r="J15">
        <v>1</v>
      </c>
      <c r="K15" t="s">
        <v>27</v>
      </c>
      <c r="L15">
        <v>3</v>
      </c>
      <c r="M15" t="s">
        <v>33</v>
      </c>
      <c r="N15" t="s">
        <v>26</v>
      </c>
      <c r="O15">
        <v>1.5</v>
      </c>
      <c r="P15" t="s">
        <v>26</v>
      </c>
      <c r="Q15">
        <v>1</v>
      </c>
      <c r="R15" t="s">
        <v>58</v>
      </c>
      <c r="S15" t="s">
        <v>30</v>
      </c>
      <c r="T15" t="s">
        <v>30</v>
      </c>
      <c r="U15" s="3">
        <v>35</v>
      </c>
      <c r="V15" s="3">
        <v>21</v>
      </c>
      <c r="W15" s="3">
        <f t="shared" si="0"/>
        <v>14</v>
      </c>
      <c r="X15" s="4">
        <f t="shared" si="1"/>
        <v>40</v>
      </c>
    </row>
    <row r="16" spans="1:24" x14ac:dyDescent="0.35">
      <c r="A16">
        <v>15</v>
      </c>
      <c r="B16" t="s">
        <v>59</v>
      </c>
      <c r="C16" t="s">
        <v>22</v>
      </c>
      <c r="D16" t="s">
        <v>23</v>
      </c>
      <c r="E16">
        <v>1</v>
      </c>
      <c r="F16" t="s">
        <v>33</v>
      </c>
      <c r="G16" t="s">
        <v>26</v>
      </c>
      <c r="H16">
        <v>1.9</v>
      </c>
      <c r="I16" t="s">
        <v>26</v>
      </c>
      <c r="J16">
        <v>0.7</v>
      </c>
      <c r="K16" t="s">
        <v>27</v>
      </c>
      <c r="L16">
        <v>2</v>
      </c>
      <c r="M16" t="s">
        <v>33</v>
      </c>
      <c r="N16" t="s">
        <v>26</v>
      </c>
      <c r="O16">
        <v>1.9</v>
      </c>
      <c r="P16" t="s">
        <v>26</v>
      </c>
      <c r="Q16">
        <v>0.7</v>
      </c>
      <c r="R16" t="s">
        <v>60</v>
      </c>
      <c r="S16" t="s">
        <v>30</v>
      </c>
      <c r="T16" t="s">
        <v>30</v>
      </c>
      <c r="U16" s="3">
        <v>30</v>
      </c>
      <c r="V16" s="3">
        <v>15</v>
      </c>
      <c r="W16" s="3">
        <f t="shared" si="0"/>
        <v>15</v>
      </c>
      <c r="X16" s="4">
        <f t="shared" si="1"/>
        <v>50</v>
      </c>
    </row>
    <row r="17" spans="1:24" x14ac:dyDescent="0.35">
      <c r="A17">
        <v>16</v>
      </c>
      <c r="B17" t="s">
        <v>61</v>
      </c>
      <c r="C17" t="s">
        <v>22</v>
      </c>
      <c r="D17" t="s">
        <v>23</v>
      </c>
      <c r="E17">
        <v>3</v>
      </c>
      <c r="F17" t="s">
        <v>24</v>
      </c>
      <c r="G17" t="s">
        <v>32</v>
      </c>
      <c r="H17">
        <v>3.9</v>
      </c>
      <c r="I17" t="s">
        <v>26</v>
      </c>
      <c r="J17">
        <v>1.6</v>
      </c>
      <c r="K17" t="s">
        <v>27</v>
      </c>
      <c r="L17">
        <v>2</v>
      </c>
      <c r="M17" t="s">
        <v>33</v>
      </c>
      <c r="N17" t="s">
        <v>32</v>
      </c>
      <c r="O17">
        <v>3.9</v>
      </c>
      <c r="P17" t="s">
        <v>26</v>
      </c>
      <c r="Q17">
        <v>1.6</v>
      </c>
      <c r="R17" t="s">
        <v>62</v>
      </c>
      <c r="S17" t="s">
        <v>29</v>
      </c>
      <c r="T17" t="s">
        <v>30</v>
      </c>
      <c r="U17" s="3">
        <v>36</v>
      </c>
      <c r="V17" s="3">
        <v>20</v>
      </c>
      <c r="W17" s="3">
        <f t="shared" si="0"/>
        <v>16</v>
      </c>
      <c r="X17" s="4">
        <f t="shared" si="1"/>
        <v>44.4</v>
      </c>
    </row>
    <row r="18" spans="1:24" x14ac:dyDescent="0.35">
      <c r="A18">
        <v>17</v>
      </c>
      <c r="B18" t="s">
        <v>63</v>
      </c>
      <c r="C18" t="s">
        <v>22</v>
      </c>
      <c r="D18" t="s">
        <v>23</v>
      </c>
      <c r="E18">
        <v>2</v>
      </c>
      <c r="F18" t="s">
        <v>24</v>
      </c>
      <c r="G18" t="s">
        <v>26</v>
      </c>
      <c r="H18">
        <v>2.4</v>
      </c>
      <c r="I18" t="s">
        <v>26</v>
      </c>
      <c r="J18">
        <v>1.6</v>
      </c>
      <c r="K18" t="s">
        <v>27</v>
      </c>
      <c r="L18">
        <v>1</v>
      </c>
      <c r="M18" t="s">
        <v>33</v>
      </c>
      <c r="N18" t="s">
        <v>26</v>
      </c>
      <c r="O18">
        <v>2.4</v>
      </c>
      <c r="P18" t="s">
        <v>26</v>
      </c>
      <c r="Q18">
        <v>1.6</v>
      </c>
      <c r="R18" t="s">
        <v>64</v>
      </c>
      <c r="S18" t="s">
        <v>30</v>
      </c>
      <c r="T18" t="s">
        <v>30</v>
      </c>
      <c r="U18" s="3">
        <v>29</v>
      </c>
      <c r="V18" s="3">
        <v>18</v>
      </c>
      <c r="W18" s="3">
        <f t="shared" si="0"/>
        <v>11</v>
      </c>
      <c r="X18" s="4">
        <f t="shared" si="1"/>
        <v>37.9</v>
      </c>
    </row>
    <row r="19" spans="1:24" x14ac:dyDescent="0.35">
      <c r="A19">
        <v>18</v>
      </c>
      <c r="B19" t="s">
        <v>65</v>
      </c>
      <c r="C19" t="s">
        <v>22</v>
      </c>
      <c r="D19" t="s">
        <v>23</v>
      </c>
      <c r="E19">
        <v>1</v>
      </c>
      <c r="F19" t="s">
        <v>24</v>
      </c>
      <c r="G19" t="s">
        <v>25</v>
      </c>
      <c r="I19" t="s">
        <v>26</v>
      </c>
      <c r="J19">
        <v>1.2</v>
      </c>
      <c r="K19" t="s">
        <v>27</v>
      </c>
      <c r="L19">
        <v>3</v>
      </c>
      <c r="M19" t="s">
        <v>24</v>
      </c>
      <c r="N19" t="s">
        <v>25</v>
      </c>
      <c r="P19" t="s">
        <v>26</v>
      </c>
      <c r="Q19">
        <v>1.2</v>
      </c>
      <c r="R19" t="s">
        <v>66</v>
      </c>
      <c r="S19" t="s">
        <v>29</v>
      </c>
      <c r="T19" t="s">
        <v>30</v>
      </c>
      <c r="U19" s="3">
        <v>27</v>
      </c>
      <c r="V19" s="3">
        <v>19</v>
      </c>
      <c r="W19" s="3">
        <f t="shared" si="0"/>
        <v>8</v>
      </c>
      <c r="X19" s="4">
        <f t="shared" si="1"/>
        <v>29.6</v>
      </c>
    </row>
    <row r="20" spans="1:24" x14ac:dyDescent="0.35">
      <c r="A20">
        <v>19</v>
      </c>
      <c r="B20" t="s">
        <v>67</v>
      </c>
      <c r="C20" t="s">
        <v>22</v>
      </c>
      <c r="D20" t="s">
        <v>23</v>
      </c>
      <c r="E20">
        <v>1</v>
      </c>
      <c r="F20" t="s">
        <v>33</v>
      </c>
      <c r="G20" t="s">
        <v>32</v>
      </c>
      <c r="H20">
        <v>3.8</v>
      </c>
      <c r="I20" t="s">
        <v>32</v>
      </c>
      <c r="J20">
        <v>3.2</v>
      </c>
      <c r="K20" t="s">
        <v>27</v>
      </c>
      <c r="L20">
        <v>3</v>
      </c>
      <c r="M20" t="s">
        <v>24</v>
      </c>
      <c r="N20" t="s">
        <v>32</v>
      </c>
      <c r="O20">
        <v>3.8</v>
      </c>
      <c r="P20" t="s">
        <v>32</v>
      </c>
      <c r="Q20">
        <v>3.2</v>
      </c>
      <c r="R20" t="s">
        <v>68</v>
      </c>
      <c r="S20" t="s">
        <v>29</v>
      </c>
      <c r="T20" t="s">
        <v>29</v>
      </c>
      <c r="U20" s="3">
        <v>26</v>
      </c>
      <c r="V20" s="3">
        <v>15</v>
      </c>
      <c r="W20" s="3">
        <f t="shared" si="0"/>
        <v>11</v>
      </c>
      <c r="X20" s="4">
        <f t="shared" si="1"/>
        <v>42.3</v>
      </c>
    </row>
    <row r="21" spans="1:24" x14ac:dyDescent="0.35">
      <c r="A21">
        <v>20</v>
      </c>
      <c r="B21" t="s">
        <v>69</v>
      </c>
      <c r="C21" t="s">
        <v>22</v>
      </c>
      <c r="D21" t="s">
        <v>23</v>
      </c>
      <c r="E21">
        <v>1</v>
      </c>
      <c r="F21" t="s">
        <v>24</v>
      </c>
      <c r="G21" t="s">
        <v>26</v>
      </c>
      <c r="H21">
        <v>2.5</v>
      </c>
      <c r="I21" t="s">
        <v>32</v>
      </c>
      <c r="J21">
        <v>4.0999999999999996</v>
      </c>
      <c r="K21" t="s">
        <v>27</v>
      </c>
      <c r="L21">
        <v>2</v>
      </c>
      <c r="M21" t="s">
        <v>24</v>
      </c>
      <c r="N21" t="s">
        <v>26</v>
      </c>
      <c r="O21">
        <v>2.5</v>
      </c>
      <c r="P21" t="s">
        <v>32</v>
      </c>
      <c r="Q21">
        <v>4.0999999999999996</v>
      </c>
      <c r="R21" t="s">
        <v>70</v>
      </c>
      <c r="S21" t="s">
        <v>30</v>
      </c>
      <c r="T21" t="s">
        <v>29</v>
      </c>
      <c r="U21" s="3">
        <v>25</v>
      </c>
      <c r="V21" s="3">
        <v>17</v>
      </c>
      <c r="W21" s="3">
        <f t="shared" si="0"/>
        <v>8</v>
      </c>
      <c r="X21" s="4">
        <f t="shared" si="1"/>
        <v>32</v>
      </c>
    </row>
    <row r="22" spans="1:24" x14ac:dyDescent="0.35">
      <c r="A22">
        <v>21</v>
      </c>
      <c r="B22" t="s">
        <v>21</v>
      </c>
      <c r="C22" t="s">
        <v>22</v>
      </c>
      <c r="D22" t="s">
        <v>23</v>
      </c>
      <c r="E22">
        <v>1</v>
      </c>
      <c r="F22" t="s">
        <v>33</v>
      </c>
      <c r="G22" t="s">
        <v>26</v>
      </c>
      <c r="H22">
        <v>2.2999999999999998</v>
      </c>
      <c r="I22" t="s">
        <v>26</v>
      </c>
      <c r="J22">
        <v>1.5</v>
      </c>
      <c r="K22" t="s">
        <v>27</v>
      </c>
      <c r="L22">
        <v>2</v>
      </c>
      <c r="M22" t="s">
        <v>33</v>
      </c>
      <c r="N22" t="s">
        <v>26</v>
      </c>
      <c r="O22">
        <v>2.2999999999999998</v>
      </c>
      <c r="P22" t="s">
        <v>26</v>
      </c>
      <c r="Q22">
        <v>1.5</v>
      </c>
      <c r="R22" t="s">
        <v>71</v>
      </c>
      <c r="S22" t="s">
        <v>30</v>
      </c>
      <c r="T22" t="s">
        <v>30</v>
      </c>
      <c r="U22" s="3">
        <v>30</v>
      </c>
      <c r="V22" s="3">
        <v>18</v>
      </c>
      <c r="W22" s="3">
        <f t="shared" si="0"/>
        <v>12</v>
      </c>
      <c r="X22" s="4">
        <f t="shared" si="1"/>
        <v>40</v>
      </c>
    </row>
    <row r="23" spans="1:24" x14ac:dyDescent="0.35">
      <c r="A23">
        <v>22</v>
      </c>
      <c r="B23" t="s">
        <v>31</v>
      </c>
      <c r="C23" t="s">
        <v>22</v>
      </c>
      <c r="D23" t="s">
        <v>23</v>
      </c>
      <c r="E23">
        <v>1</v>
      </c>
      <c r="F23" t="s">
        <v>33</v>
      </c>
      <c r="G23" t="s">
        <v>25</v>
      </c>
      <c r="I23" t="s">
        <v>26</v>
      </c>
      <c r="J23">
        <v>1.3</v>
      </c>
      <c r="K23" t="s">
        <v>27</v>
      </c>
      <c r="L23">
        <v>3</v>
      </c>
      <c r="M23" t="s">
        <v>33</v>
      </c>
      <c r="N23" t="s">
        <v>25</v>
      </c>
      <c r="P23" t="s">
        <v>26</v>
      </c>
      <c r="Q23">
        <v>1.3</v>
      </c>
      <c r="R23" t="s">
        <v>72</v>
      </c>
      <c r="S23" t="s">
        <v>29</v>
      </c>
      <c r="T23" t="s">
        <v>30</v>
      </c>
      <c r="U23" s="3">
        <v>29</v>
      </c>
      <c r="V23" s="3">
        <v>16</v>
      </c>
      <c r="W23" s="3">
        <f t="shared" si="0"/>
        <v>13</v>
      </c>
      <c r="X23" s="4">
        <f t="shared" si="1"/>
        <v>44.8</v>
      </c>
    </row>
    <row r="24" spans="1:24" x14ac:dyDescent="0.35">
      <c r="A24">
        <v>23</v>
      </c>
      <c r="B24" t="s">
        <v>35</v>
      </c>
      <c r="C24" t="s">
        <v>22</v>
      </c>
      <c r="D24" t="s">
        <v>23</v>
      </c>
      <c r="E24">
        <v>2</v>
      </c>
      <c r="F24" t="s">
        <v>24</v>
      </c>
      <c r="G24" t="s">
        <v>25</v>
      </c>
      <c r="I24" t="s">
        <v>25</v>
      </c>
      <c r="K24" t="s">
        <v>27</v>
      </c>
      <c r="L24">
        <v>3</v>
      </c>
      <c r="M24" t="s">
        <v>33</v>
      </c>
      <c r="N24" t="s">
        <v>25</v>
      </c>
      <c r="P24" t="s">
        <v>25</v>
      </c>
      <c r="R24" t="s">
        <v>73</v>
      </c>
      <c r="S24" t="s">
        <v>29</v>
      </c>
      <c r="T24" t="s">
        <v>29</v>
      </c>
      <c r="U24" s="3">
        <v>33</v>
      </c>
      <c r="V24" s="3">
        <v>15</v>
      </c>
      <c r="W24" s="3">
        <f t="shared" si="0"/>
        <v>18</v>
      </c>
      <c r="X24" s="4">
        <f t="shared" si="1"/>
        <v>54.5</v>
      </c>
    </row>
    <row r="25" spans="1:24" x14ac:dyDescent="0.35">
      <c r="A25">
        <v>24</v>
      </c>
      <c r="B25" t="s">
        <v>37</v>
      </c>
      <c r="C25" t="s">
        <v>22</v>
      </c>
      <c r="D25" t="s">
        <v>23</v>
      </c>
      <c r="E25">
        <v>3</v>
      </c>
      <c r="F25" t="s">
        <v>33</v>
      </c>
      <c r="G25" t="s">
        <v>32</v>
      </c>
      <c r="H25">
        <v>4.9000000000000004</v>
      </c>
      <c r="I25" t="s">
        <v>32</v>
      </c>
      <c r="J25">
        <v>3.2</v>
      </c>
      <c r="K25" t="s">
        <v>27</v>
      </c>
      <c r="L25">
        <v>2</v>
      </c>
      <c r="M25" t="s">
        <v>24</v>
      </c>
      <c r="N25" t="s">
        <v>32</v>
      </c>
      <c r="O25">
        <v>4.9000000000000004</v>
      </c>
      <c r="P25" t="s">
        <v>32</v>
      </c>
      <c r="Q25">
        <v>3.2</v>
      </c>
      <c r="R25" t="s">
        <v>74</v>
      </c>
      <c r="S25" t="s">
        <v>29</v>
      </c>
      <c r="T25" t="s">
        <v>29</v>
      </c>
      <c r="U25" s="3">
        <v>21</v>
      </c>
      <c r="V25" s="3">
        <v>14</v>
      </c>
      <c r="W25" s="3">
        <f t="shared" si="0"/>
        <v>7</v>
      </c>
      <c r="X25" s="4">
        <f t="shared" si="1"/>
        <v>33.299999999999997</v>
      </c>
    </row>
    <row r="26" spans="1:24" x14ac:dyDescent="0.35">
      <c r="A26">
        <v>25</v>
      </c>
      <c r="B26" t="s">
        <v>39</v>
      </c>
      <c r="C26" t="s">
        <v>22</v>
      </c>
      <c r="D26" t="s">
        <v>23</v>
      </c>
      <c r="E26">
        <v>1</v>
      </c>
      <c r="F26" t="s">
        <v>33</v>
      </c>
      <c r="G26" t="s">
        <v>26</v>
      </c>
      <c r="H26">
        <v>0.8</v>
      </c>
      <c r="I26" t="s">
        <v>26</v>
      </c>
      <c r="J26">
        <v>0.7</v>
      </c>
      <c r="K26" t="s">
        <v>27</v>
      </c>
      <c r="L26">
        <v>1</v>
      </c>
      <c r="M26" t="s">
        <v>33</v>
      </c>
      <c r="N26" t="s">
        <v>26</v>
      </c>
      <c r="O26">
        <v>0.8</v>
      </c>
      <c r="P26" t="s">
        <v>26</v>
      </c>
      <c r="Q26">
        <v>0.7</v>
      </c>
      <c r="R26" t="s">
        <v>75</v>
      </c>
      <c r="S26" t="s">
        <v>30</v>
      </c>
      <c r="T26" t="s">
        <v>30</v>
      </c>
      <c r="U26" s="3">
        <v>29</v>
      </c>
      <c r="V26" s="3">
        <v>20</v>
      </c>
      <c r="W26" s="3">
        <f t="shared" si="0"/>
        <v>9</v>
      </c>
      <c r="X26" s="4">
        <f t="shared" si="1"/>
        <v>31</v>
      </c>
    </row>
    <row r="27" spans="1:24" x14ac:dyDescent="0.35">
      <c r="A27">
        <v>26</v>
      </c>
      <c r="B27" t="s">
        <v>41</v>
      </c>
      <c r="C27" t="s">
        <v>22</v>
      </c>
      <c r="D27" t="s">
        <v>23</v>
      </c>
      <c r="E27">
        <v>3</v>
      </c>
      <c r="F27" t="s">
        <v>24</v>
      </c>
      <c r="G27" t="s">
        <v>26</v>
      </c>
      <c r="H27">
        <v>1.4</v>
      </c>
      <c r="I27" t="s">
        <v>26</v>
      </c>
      <c r="J27">
        <v>1.2</v>
      </c>
      <c r="K27" t="s">
        <v>27</v>
      </c>
      <c r="L27">
        <v>3</v>
      </c>
      <c r="M27" t="s">
        <v>33</v>
      </c>
      <c r="N27" t="s">
        <v>26</v>
      </c>
      <c r="O27">
        <v>1.4</v>
      </c>
      <c r="P27" t="s">
        <v>26</v>
      </c>
      <c r="Q27">
        <v>1.2</v>
      </c>
      <c r="R27" t="s">
        <v>76</v>
      </c>
      <c r="S27" t="s">
        <v>30</v>
      </c>
      <c r="T27" t="s">
        <v>30</v>
      </c>
      <c r="U27" s="3">
        <v>27</v>
      </c>
      <c r="V27" s="3">
        <v>14</v>
      </c>
      <c r="W27" s="3">
        <f t="shared" si="0"/>
        <v>13</v>
      </c>
      <c r="X27" s="4">
        <f t="shared" si="1"/>
        <v>48.1</v>
      </c>
    </row>
    <row r="28" spans="1:24" x14ac:dyDescent="0.35">
      <c r="A28">
        <v>27</v>
      </c>
      <c r="B28" t="s">
        <v>43</v>
      </c>
      <c r="C28" t="s">
        <v>22</v>
      </c>
      <c r="D28" t="s">
        <v>23</v>
      </c>
      <c r="E28">
        <v>1</v>
      </c>
      <c r="F28" t="s">
        <v>24</v>
      </c>
      <c r="G28" t="s">
        <v>26</v>
      </c>
      <c r="H28">
        <v>2.4</v>
      </c>
      <c r="I28" t="s">
        <v>26</v>
      </c>
      <c r="J28">
        <v>1.3</v>
      </c>
      <c r="K28" t="s">
        <v>27</v>
      </c>
      <c r="L28">
        <v>2</v>
      </c>
      <c r="M28" t="s">
        <v>24</v>
      </c>
      <c r="N28" t="s">
        <v>26</v>
      </c>
      <c r="O28">
        <v>2.4</v>
      </c>
      <c r="P28" t="s">
        <v>26</v>
      </c>
      <c r="Q28">
        <v>1.3</v>
      </c>
      <c r="R28" t="s">
        <v>77</v>
      </c>
      <c r="S28" t="s">
        <v>30</v>
      </c>
      <c r="T28" t="s">
        <v>30</v>
      </c>
      <c r="U28" s="3">
        <v>24</v>
      </c>
      <c r="V28" s="3">
        <v>13</v>
      </c>
      <c r="W28" s="3">
        <f t="shared" si="0"/>
        <v>11</v>
      </c>
      <c r="X28" s="4">
        <f t="shared" si="1"/>
        <v>45.8</v>
      </c>
    </row>
    <row r="29" spans="1:24" x14ac:dyDescent="0.35">
      <c r="A29">
        <v>28</v>
      </c>
      <c r="B29" t="s">
        <v>45</v>
      </c>
      <c r="C29" t="s">
        <v>22</v>
      </c>
      <c r="D29" t="s">
        <v>23</v>
      </c>
      <c r="E29">
        <v>2</v>
      </c>
      <c r="F29" t="s">
        <v>33</v>
      </c>
      <c r="G29" t="s">
        <v>32</v>
      </c>
      <c r="H29">
        <v>3.6</v>
      </c>
      <c r="I29" t="s">
        <v>26</v>
      </c>
      <c r="J29">
        <v>1.6</v>
      </c>
      <c r="K29" t="s">
        <v>27</v>
      </c>
      <c r="L29">
        <v>3</v>
      </c>
      <c r="M29" t="s">
        <v>24</v>
      </c>
      <c r="N29" t="s">
        <v>32</v>
      </c>
      <c r="O29">
        <v>3.6</v>
      </c>
      <c r="P29" t="s">
        <v>26</v>
      </c>
      <c r="Q29">
        <v>1.6</v>
      </c>
      <c r="R29" t="s">
        <v>78</v>
      </c>
      <c r="S29" t="s">
        <v>29</v>
      </c>
      <c r="T29" t="s">
        <v>30</v>
      </c>
      <c r="U29" s="3">
        <v>32</v>
      </c>
      <c r="V29" s="3">
        <v>16</v>
      </c>
      <c r="W29" s="3">
        <f t="shared" si="0"/>
        <v>16</v>
      </c>
      <c r="X29" s="4">
        <f t="shared" si="1"/>
        <v>50</v>
      </c>
    </row>
    <row r="30" spans="1:24" x14ac:dyDescent="0.35">
      <c r="A30">
        <v>29</v>
      </c>
      <c r="B30" t="s">
        <v>47</v>
      </c>
      <c r="C30" t="s">
        <v>22</v>
      </c>
      <c r="D30" t="s">
        <v>23</v>
      </c>
      <c r="E30">
        <v>1</v>
      </c>
      <c r="F30" t="s">
        <v>24</v>
      </c>
      <c r="G30" t="s">
        <v>25</v>
      </c>
      <c r="I30" t="s">
        <v>25</v>
      </c>
      <c r="K30" t="s">
        <v>27</v>
      </c>
      <c r="L30">
        <v>1</v>
      </c>
      <c r="M30" t="s">
        <v>33</v>
      </c>
      <c r="N30" t="s">
        <v>25</v>
      </c>
      <c r="P30" t="s">
        <v>25</v>
      </c>
      <c r="R30" t="s">
        <v>79</v>
      </c>
      <c r="S30" t="s">
        <v>29</v>
      </c>
      <c r="T30" t="s">
        <v>29</v>
      </c>
      <c r="U30" s="3">
        <v>29</v>
      </c>
      <c r="V30" s="3">
        <v>14</v>
      </c>
      <c r="W30" s="3">
        <f t="shared" si="0"/>
        <v>15</v>
      </c>
      <c r="X30" s="4">
        <f t="shared" si="1"/>
        <v>51.7</v>
      </c>
    </row>
    <row r="31" spans="1:24" x14ac:dyDescent="0.35">
      <c r="A31">
        <v>30</v>
      </c>
      <c r="B31" t="s">
        <v>49</v>
      </c>
      <c r="C31" t="s">
        <v>22</v>
      </c>
      <c r="D31" t="s">
        <v>23</v>
      </c>
      <c r="E31">
        <v>3</v>
      </c>
      <c r="F31" t="s">
        <v>24</v>
      </c>
      <c r="G31" t="s">
        <v>26</v>
      </c>
      <c r="H31">
        <v>0.8</v>
      </c>
      <c r="I31" t="s">
        <v>26</v>
      </c>
      <c r="J31">
        <v>2.1</v>
      </c>
      <c r="K31" t="s">
        <v>27</v>
      </c>
      <c r="L31">
        <v>1</v>
      </c>
      <c r="M31" t="s">
        <v>33</v>
      </c>
      <c r="N31" t="s">
        <v>26</v>
      </c>
      <c r="O31">
        <v>0.8</v>
      </c>
      <c r="P31" t="s">
        <v>26</v>
      </c>
      <c r="Q31">
        <v>2.1</v>
      </c>
      <c r="R31" t="s">
        <v>80</v>
      </c>
      <c r="S31" t="s">
        <v>30</v>
      </c>
      <c r="T31" t="s">
        <v>30</v>
      </c>
      <c r="U31" s="3">
        <v>26</v>
      </c>
      <c r="V31" s="3">
        <v>14</v>
      </c>
      <c r="W31" s="3">
        <f t="shared" si="0"/>
        <v>12</v>
      </c>
      <c r="X31" s="4">
        <f t="shared" si="1"/>
        <v>46.2</v>
      </c>
    </row>
    <row r="32" spans="1:24" x14ac:dyDescent="0.35">
      <c r="A32">
        <v>31</v>
      </c>
      <c r="B32" t="s">
        <v>51</v>
      </c>
      <c r="C32" t="s">
        <v>22</v>
      </c>
      <c r="D32" t="s">
        <v>23</v>
      </c>
      <c r="E32">
        <v>1</v>
      </c>
      <c r="F32" t="s">
        <v>24</v>
      </c>
      <c r="G32" t="s">
        <v>25</v>
      </c>
      <c r="I32" t="s">
        <v>26</v>
      </c>
      <c r="J32">
        <v>2</v>
      </c>
      <c r="K32" t="s">
        <v>27</v>
      </c>
      <c r="L32">
        <v>3</v>
      </c>
      <c r="M32" t="s">
        <v>24</v>
      </c>
      <c r="N32" t="s">
        <v>25</v>
      </c>
      <c r="P32" t="s">
        <v>26</v>
      </c>
      <c r="Q32">
        <v>2</v>
      </c>
      <c r="R32" t="s">
        <v>81</v>
      </c>
      <c r="S32" t="s">
        <v>29</v>
      </c>
      <c r="T32" t="s">
        <v>30</v>
      </c>
      <c r="U32" s="3">
        <v>25</v>
      </c>
      <c r="V32" s="3">
        <v>19</v>
      </c>
      <c r="W32" s="3">
        <f t="shared" si="0"/>
        <v>6</v>
      </c>
      <c r="X32" s="4">
        <f t="shared" si="1"/>
        <v>24</v>
      </c>
    </row>
    <row r="33" spans="1:24" x14ac:dyDescent="0.35">
      <c r="A33">
        <v>32</v>
      </c>
      <c r="B33" t="s">
        <v>53</v>
      </c>
      <c r="C33" t="s">
        <v>22</v>
      </c>
      <c r="D33" t="s">
        <v>23</v>
      </c>
      <c r="E33">
        <v>1</v>
      </c>
      <c r="F33" t="s">
        <v>24</v>
      </c>
      <c r="G33" t="s">
        <v>26</v>
      </c>
      <c r="H33">
        <v>1.7</v>
      </c>
      <c r="I33" t="s">
        <v>26</v>
      </c>
      <c r="J33">
        <v>0.8</v>
      </c>
      <c r="K33" t="s">
        <v>27</v>
      </c>
      <c r="L33">
        <v>2</v>
      </c>
      <c r="M33" t="s">
        <v>24</v>
      </c>
      <c r="N33" t="s">
        <v>26</v>
      </c>
      <c r="O33">
        <v>1.7</v>
      </c>
      <c r="P33" t="s">
        <v>26</v>
      </c>
      <c r="Q33">
        <v>0.8</v>
      </c>
      <c r="R33" t="s">
        <v>82</v>
      </c>
      <c r="S33" t="s">
        <v>30</v>
      </c>
      <c r="T33" t="s">
        <v>30</v>
      </c>
      <c r="U33" s="3">
        <v>37</v>
      </c>
      <c r="V33" s="3">
        <v>17</v>
      </c>
      <c r="W33" s="3">
        <f t="shared" si="0"/>
        <v>20</v>
      </c>
      <c r="X33" s="4">
        <f t="shared" si="1"/>
        <v>54.1</v>
      </c>
    </row>
    <row r="34" spans="1:24" x14ac:dyDescent="0.35">
      <c r="A34">
        <v>33</v>
      </c>
      <c r="B34" t="s">
        <v>55</v>
      </c>
      <c r="C34" t="s">
        <v>22</v>
      </c>
      <c r="D34" t="s">
        <v>23</v>
      </c>
      <c r="E34">
        <v>3</v>
      </c>
      <c r="F34" t="s">
        <v>33</v>
      </c>
      <c r="G34" t="s">
        <v>32</v>
      </c>
      <c r="H34">
        <v>3.1</v>
      </c>
      <c r="I34" t="s">
        <v>26</v>
      </c>
      <c r="J34">
        <v>1.2</v>
      </c>
      <c r="K34" t="s">
        <v>27</v>
      </c>
      <c r="L34">
        <v>3</v>
      </c>
      <c r="M34" t="s">
        <v>33</v>
      </c>
      <c r="N34" t="s">
        <v>32</v>
      </c>
      <c r="O34">
        <v>3.1</v>
      </c>
      <c r="P34" t="s">
        <v>26</v>
      </c>
      <c r="Q34">
        <v>1.2</v>
      </c>
      <c r="R34" t="s">
        <v>83</v>
      </c>
      <c r="S34" t="s">
        <v>29</v>
      </c>
      <c r="T34" t="s">
        <v>30</v>
      </c>
      <c r="U34" s="3">
        <v>35</v>
      </c>
      <c r="V34" s="3">
        <v>19</v>
      </c>
      <c r="W34" s="3">
        <f t="shared" si="0"/>
        <v>16</v>
      </c>
      <c r="X34" s="4">
        <f t="shared" si="1"/>
        <v>45.7</v>
      </c>
    </row>
    <row r="35" spans="1:24" x14ac:dyDescent="0.35">
      <c r="A35">
        <v>34</v>
      </c>
      <c r="B35" t="s">
        <v>57</v>
      </c>
      <c r="C35" t="s">
        <v>22</v>
      </c>
      <c r="D35" t="s">
        <v>23</v>
      </c>
      <c r="E35">
        <v>2</v>
      </c>
      <c r="F35" t="s">
        <v>33</v>
      </c>
      <c r="G35" t="s">
        <v>25</v>
      </c>
      <c r="I35" t="s">
        <v>32</v>
      </c>
      <c r="J35">
        <v>3.6</v>
      </c>
      <c r="K35" t="s">
        <v>27</v>
      </c>
      <c r="L35">
        <v>3</v>
      </c>
      <c r="M35" t="s">
        <v>33</v>
      </c>
      <c r="N35" t="s">
        <v>25</v>
      </c>
      <c r="P35" t="s">
        <v>32</v>
      </c>
      <c r="Q35">
        <v>3.6</v>
      </c>
      <c r="R35" t="s">
        <v>84</v>
      </c>
      <c r="S35" t="s">
        <v>29</v>
      </c>
      <c r="T35" t="s">
        <v>29</v>
      </c>
      <c r="U35" s="3">
        <v>32</v>
      </c>
      <c r="V35" s="3">
        <v>16</v>
      </c>
      <c r="W35" s="3">
        <f t="shared" si="0"/>
        <v>16</v>
      </c>
      <c r="X35" s="4">
        <f t="shared" si="1"/>
        <v>50</v>
      </c>
    </row>
    <row r="36" spans="1:24" x14ac:dyDescent="0.35">
      <c r="A36">
        <v>35</v>
      </c>
      <c r="B36" t="s">
        <v>59</v>
      </c>
      <c r="C36" t="s">
        <v>22</v>
      </c>
      <c r="D36" t="s">
        <v>23</v>
      </c>
      <c r="E36">
        <v>3</v>
      </c>
      <c r="F36" t="s">
        <v>24</v>
      </c>
      <c r="G36" t="s">
        <v>32</v>
      </c>
      <c r="H36">
        <v>3.6</v>
      </c>
      <c r="I36" t="s">
        <v>32</v>
      </c>
      <c r="J36">
        <v>3.4</v>
      </c>
      <c r="K36" t="s">
        <v>27</v>
      </c>
      <c r="L36">
        <v>3</v>
      </c>
      <c r="M36" t="s">
        <v>33</v>
      </c>
      <c r="N36" t="s">
        <v>32</v>
      </c>
      <c r="O36">
        <v>3.6</v>
      </c>
      <c r="P36" t="s">
        <v>32</v>
      </c>
      <c r="Q36">
        <v>3.4</v>
      </c>
      <c r="R36" t="s">
        <v>85</v>
      </c>
      <c r="S36" t="s">
        <v>29</v>
      </c>
      <c r="T36" t="s">
        <v>29</v>
      </c>
      <c r="U36" s="3">
        <v>27</v>
      </c>
      <c r="V36" s="3">
        <v>17</v>
      </c>
      <c r="W36" s="3">
        <f t="shared" si="0"/>
        <v>10</v>
      </c>
      <c r="X36" s="4">
        <f t="shared" si="1"/>
        <v>37</v>
      </c>
    </row>
    <row r="37" spans="1:24" x14ac:dyDescent="0.35">
      <c r="A37">
        <v>36</v>
      </c>
      <c r="B37" t="s">
        <v>61</v>
      </c>
      <c r="C37" t="s">
        <v>22</v>
      </c>
      <c r="D37" t="s">
        <v>23</v>
      </c>
      <c r="E37">
        <v>3</v>
      </c>
      <c r="F37" t="s">
        <v>33</v>
      </c>
      <c r="G37" t="s">
        <v>25</v>
      </c>
      <c r="I37" t="s">
        <v>25</v>
      </c>
      <c r="K37" t="s">
        <v>27</v>
      </c>
      <c r="L37">
        <v>1</v>
      </c>
      <c r="M37" t="s">
        <v>33</v>
      </c>
      <c r="N37" t="s">
        <v>25</v>
      </c>
      <c r="P37" t="s">
        <v>25</v>
      </c>
      <c r="R37" t="s">
        <v>86</v>
      </c>
      <c r="S37" t="s">
        <v>29</v>
      </c>
      <c r="T37" t="s">
        <v>29</v>
      </c>
      <c r="U37" s="3">
        <v>38</v>
      </c>
      <c r="V37" s="3">
        <v>16</v>
      </c>
      <c r="W37" s="3">
        <f t="shared" si="0"/>
        <v>22</v>
      </c>
      <c r="X37" s="4">
        <f t="shared" si="1"/>
        <v>57.9</v>
      </c>
    </row>
    <row r="38" spans="1:24" x14ac:dyDescent="0.35">
      <c r="A38">
        <v>37</v>
      </c>
      <c r="B38" t="s">
        <v>63</v>
      </c>
      <c r="C38" t="s">
        <v>22</v>
      </c>
      <c r="D38" t="s">
        <v>23</v>
      </c>
      <c r="E38">
        <v>1</v>
      </c>
      <c r="F38" t="s">
        <v>24</v>
      </c>
      <c r="G38" t="s">
        <v>25</v>
      </c>
      <c r="I38" t="s">
        <v>32</v>
      </c>
      <c r="J38">
        <v>3.3</v>
      </c>
      <c r="K38" t="s">
        <v>27</v>
      </c>
      <c r="L38">
        <v>1</v>
      </c>
      <c r="M38" t="s">
        <v>24</v>
      </c>
      <c r="N38" t="s">
        <v>25</v>
      </c>
      <c r="P38" t="s">
        <v>32</v>
      </c>
      <c r="Q38">
        <v>3.3</v>
      </c>
      <c r="R38" t="s">
        <v>87</v>
      </c>
      <c r="S38" t="s">
        <v>29</v>
      </c>
      <c r="T38" t="s">
        <v>29</v>
      </c>
      <c r="U38" s="3">
        <v>31</v>
      </c>
      <c r="V38" s="3">
        <v>19</v>
      </c>
      <c r="W38" s="3">
        <f t="shared" si="0"/>
        <v>12</v>
      </c>
      <c r="X38" s="4">
        <f t="shared" si="1"/>
        <v>38.700000000000003</v>
      </c>
    </row>
    <row r="39" spans="1:24" x14ac:dyDescent="0.35">
      <c r="A39">
        <v>38</v>
      </c>
      <c r="B39" t="s">
        <v>65</v>
      </c>
      <c r="C39" t="s">
        <v>22</v>
      </c>
      <c r="D39" t="s">
        <v>23</v>
      </c>
      <c r="E39">
        <v>1</v>
      </c>
      <c r="F39" t="s">
        <v>24</v>
      </c>
      <c r="G39" t="s">
        <v>32</v>
      </c>
      <c r="H39">
        <v>4.5999999999999996</v>
      </c>
      <c r="I39" t="s">
        <v>26</v>
      </c>
      <c r="J39">
        <v>2</v>
      </c>
      <c r="K39" t="s">
        <v>27</v>
      </c>
      <c r="L39">
        <v>1</v>
      </c>
      <c r="M39" t="s">
        <v>24</v>
      </c>
      <c r="N39" t="s">
        <v>32</v>
      </c>
      <c r="O39">
        <v>4.5999999999999996</v>
      </c>
      <c r="P39" t="s">
        <v>26</v>
      </c>
      <c r="Q39">
        <v>2</v>
      </c>
      <c r="R39" t="s">
        <v>88</v>
      </c>
      <c r="S39" t="s">
        <v>29</v>
      </c>
      <c r="T39" t="s">
        <v>30</v>
      </c>
      <c r="U39" s="3">
        <v>29</v>
      </c>
      <c r="V39" s="3">
        <v>16</v>
      </c>
      <c r="W39" s="3">
        <f t="shared" si="0"/>
        <v>13</v>
      </c>
      <c r="X39" s="4">
        <f t="shared" si="1"/>
        <v>44.8</v>
      </c>
    </row>
    <row r="40" spans="1:24" x14ac:dyDescent="0.35">
      <c r="A40">
        <v>39</v>
      </c>
      <c r="B40" t="s">
        <v>67</v>
      </c>
      <c r="C40" t="s">
        <v>22</v>
      </c>
      <c r="D40" t="s">
        <v>23</v>
      </c>
      <c r="E40">
        <v>2</v>
      </c>
      <c r="F40" t="s">
        <v>24</v>
      </c>
      <c r="G40" t="s">
        <v>25</v>
      </c>
      <c r="I40" t="s">
        <v>26</v>
      </c>
      <c r="J40">
        <v>0.6</v>
      </c>
      <c r="K40" t="s">
        <v>27</v>
      </c>
      <c r="L40">
        <v>1</v>
      </c>
      <c r="M40" t="s">
        <v>24</v>
      </c>
      <c r="N40" t="s">
        <v>25</v>
      </c>
      <c r="P40" t="s">
        <v>26</v>
      </c>
      <c r="Q40">
        <v>0.6</v>
      </c>
      <c r="R40" t="s">
        <v>89</v>
      </c>
      <c r="S40" t="s">
        <v>29</v>
      </c>
      <c r="T40" t="s">
        <v>30</v>
      </c>
      <c r="U40" s="3">
        <v>37</v>
      </c>
      <c r="V40" s="3">
        <v>17</v>
      </c>
      <c r="W40" s="3">
        <f t="shared" si="0"/>
        <v>20</v>
      </c>
      <c r="X40" s="4">
        <f t="shared" si="1"/>
        <v>54.1</v>
      </c>
    </row>
    <row r="41" spans="1:24" x14ac:dyDescent="0.35">
      <c r="A41">
        <v>40</v>
      </c>
      <c r="B41" t="s">
        <v>69</v>
      </c>
      <c r="C41" t="s">
        <v>22</v>
      </c>
      <c r="D41" t="s">
        <v>23</v>
      </c>
      <c r="E41">
        <v>2</v>
      </c>
      <c r="F41" t="s">
        <v>33</v>
      </c>
      <c r="G41" t="s">
        <v>25</v>
      </c>
      <c r="I41" t="s">
        <v>26</v>
      </c>
      <c r="J41">
        <v>2.1</v>
      </c>
      <c r="K41" t="s">
        <v>27</v>
      </c>
      <c r="L41">
        <v>2</v>
      </c>
      <c r="M41" t="s">
        <v>33</v>
      </c>
      <c r="N41" t="s">
        <v>25</v>
      </c>
      <c r="P41" t="s">
        <v>26</v>
      </c>
      <c r="Q41">
        <v>2.1</v>
      </c>
      <c r="R41" t="s">
        <v>90</v>
      </c>
      <c r="S41" t="s">
        <v>29</v>
      </c>
      <c r="T41" t="s">
        <v>30</v>
      </c>
      <c r="U41" s="3">
        <v>27</v>
      </c>
      <c r="V41" s="3">
        <v>18</v>
      </c>
      <c r="W41" s="3">
        <f t="shared" si="0"/>
        <v>9</v>
      </c>
      <c r="X41" s="4">
        <f t="shared" si="1"/>
        <v>33.299999999999997</v>
      </c>
    </row>
    <row r="42" spans="1:24" x14ac:dyDescent="0.35">
      <c r="A42">
        <v>41</v>
      </c>
      <c r="B42" t="s">
        <v>21</v>
      </c>
      <c r="C42" t="s">
        <v>91</v>
      </c>
      <c r="D42" t="s">
        <v>23</v>
      </c>
      <c r="E42">
        <v>3</v>
      </c>
      <c r="F42" t="s">
        <v>33</v>
      </c>
      <c r="G42" t="s">
        <v>25</v>
      </c>
      <c r="I42" t="s">
        <v>25</v>
      </c>
      <c r="K42" t="s">
        <v>27</v>
      </c>
      <c r="L42">
        <v>3</v>
      </c>
      <c r="M42" t="s">
        <v>33</v>
      </c>
      <c r="N42" t="s">
        <v>25</v>
      </c>
      <c r="P42" t="s">
        <v>25</v>
      </c>
      <c r="R42" t="s">
        <v>92</v>
      </c>
      <c r="S42" t="s">
        <v>29</v>
      </c>
      <c r="T42" t="s">
        <v>29</v>
      </c>
      <c r="U42" s="3">
        <v>34</v>
      </c>
      <c r="V42" s="3">
        <v>18</v>
      </c>
      <c r="W42" s="3">
        <f t="shared" si="0"/>
        <v>16</v>
      </c>
      <c r="X42" s="4">
        <f t="shared" si="1"/>
        <v>47.1</v>
      </c>
    </row>
    <row r="43" spans="1:24" x14ac:dyDescent="0.35">
      <c r="A43">
        <v>42</v>
      </c>
      <c r="B43" t="s">
        <v>31</v>
      </c>
      <c r="C43" t="s">
        <v>91</v>
      </c>
      <c r="D43" t="s">
        <v>23</v>
      </c>
      <c r="E43">
        <v>1</v>
      </c>
      <c r="F43" t="s">
        <v>33</v>
      </c>
      <c r="G43" t="s">
        <v>32</v>
      </c>
      <c r="H43">
        <v>4</v>
      </c>
      <c r="I43" t="s">
        <v>26</v>
      </c>
      <c r="J43">
        <v>1.3</v>
      </c>
      <c r="K43" t="s">
        <v>27</v>
      </c>
      <c r="L43">
        <v>1</v>
      </c>
      <c r="M43" t="s">
        <v>24</v>
      </c>
      <c r="N43" t="s">
        <v>32</v>
      </c>
      <c r="O43">
        <v>4</v>
      </c>
      <c r="P43" t="s">
        <v>26</v>
      </c>
      <c r="Q43">
        <v>1.3</v>
      </c>
      <c r="R43" t="s">
        <v>93</v>
      </c>
      <c r="S43" t="s">
        <v>29</v>
      </c>
      <c r="T43" t="s">
        <v>30</v>
      </c>
      <c r="U43" s="3">
        <v>26</v>
      </c>
      <c r="V43" s="3">
        <v>16</v>
      </c>
      <c r="W43" s="3">
        <f t="shared" si="0"/>
        <v>10</v>
      </c>
      <c r="X43" s="4">
        <f t="shared" si="1"/>
        <v>38.5</v>
      </c>
    </row>
    <row r="44" spans="1:24" x14ac:dyDescent="0.35">
      <c r="A44">
        <v>43</v>
      </c>
      <c r="B44" t="s">
        <v>35</v>
      </c>
      <c r="C44" t="s">
        <v>91</v>
      </c>
      <c r="D44" t="s">
        <v>23</v>
      </c>
      <c r="E44">
        <v>2</v>
      </c>
      <c r="F44" t="s">
        <v>24</v>
      </c>
      <c r="G44" t="s">
        <v>25</v>
      </c>
      <c r="I44" t="s">
        <v>26</v>
      </c>
      <c r="J44">
        <v>2.2999999999999998</v>
      </c>
      <c r="K44" t="s">
        <v>27</v>
      </c>
      <c r="L44">
        <v>1</v>
      </c>
      <c r="M44" t="s">
        <v>33</v>
      </c>
      <c r="N44" t="s">
        <v>25</v>
      </c>
      <c r="P44" t="s">
        <v>26</v>
      </c>
      <c r="Q44">
        <v>2.2999999999999998</v>
      </c>
      <c r="R44" t="s">
        <v>94</v>
      </c>
      <c r="S44" t="s">
        <v>29</v>
      </c>
      <c r="T44" t="s">
        <v>30</v>
      </c>
      <c r="U44" s="3">
        <v>26</v>
      </c>
      <c r="V44" s="3">
        <v>14</v>
      </c>
      <c r="W44" s="3">
        <f t="shared" si="0"/>
        <v>12</v>
      </c>
      <c r="X44" s="4">
        <f t="shared" si="1"/>
        <v>46.2</v>
      </c>
    </row>
    <row r="45" spans="1:24" x14ac:dyDescent="0.35">
      <c r="A45">
        <v>44</v>
      </c>
      <c r="B45" t="s">
        <v>37</v>
      </c>
      <c r="C45" t="s">
        <v>91</v>
      </c>
      <c r="D45" t="s">
        <v>23</v>
      </c>
      <c r="E45">
        <v>1</v>
      </c>
      <c r="F45" t="s">
        <v>33</v>
      </c>
      <c r="G45" t="s">
        <v>25</v>
      </c>
      <c r="I45" t="s">
        <v>26</v>
      </c>
      <c r="J45">
        <v>0.6</v>
      </c>
      <c r="K45" t="s">
        <v>27</v>
      </c>
      <c r="L45">
        <v>3</v>
      </c>
      <c r="M45" t="s">
        <v>33</v>
      </c>
      <c r="N45" t="s">
        <v>25</v>
      </c>
      <c r="P45" t="s">
        <v>26</v>
      </c>
      <c r="Q45">
        <v>0.6</v>
      </c>
      <c r="R45" t="s">
        <v>95</v>
      </c>
      <c r="S45" t="s">
        <v>29</v>
      </c>
      <c r="T45" t="s">
        <v>30</v>
      </c>
      <c r="U45" s="3">
        <v>34</v>
      </c>
      <c r="V45" s="3">
        <v>20</v>
      </c>
      <c r="W45" s="3">
        <f t="shared" si="0"/>
        <v>14</v>
      </c>
      <c r="X45" s="4">
        <f t="shared" si="1"/>
        <v>41.2</v>
      </c>
    </row>
    <row r="46" spans="1:24" x14ac:dyDescent="0.35">
      <c r="A46">
        <v>45</v>
      </c>
      <c r="B46" t="s">
        <v>39</v>
      </c>
      <c r="C46" t="s">
        <v>91</v>
      </c>
      <c r="D46" t="s">
        <v>23</v>
      </c>
      <c r="E46">
        <v>2</v>
      </c>
      <c r="F46" t="s">
        <v>24</v>
      </c>
      <c r="G46" t="s">
        <v>32</v>
      </c>
      <c r="H46">
        <v>4.3</v>
      </c>
      <c r="I46" t="s">
        <v>25</v>
      </c>
      <c r="K46" t="s">
        <v>27</v>
      </c>
      <c r="L46">
        <v>2</v>
      </c>
      <c r="M46" t="s">
        <v>24</v>
      </c>
      <c r="N46" t="s">
        <v>32</v>
      </c>
      <c r="O46">
        <v>4.3</v>
      </c>
      <c r="P46" t="s">
        <v>25</v>
      </c>
      <c r="R46" t="s">
        <v>96</v>
      </c>
      <c r="S46" t="s">
        <v>29</v>
      </c>
      <c r="T46" t="s">
        <v>29</v>
      </c>
      <c r="U46" s="3">
        <v>25</v>
      </c>
      <c r="V46" s="3">
        <v>15</v>
      </c>
      <c r="W46" s="3">
        <f t="shared" si="0"/>
        <v>10</v>
      </c>
      <c r="X46" s="4">
        <f t="shared" si="1"/>
        <v>40</v>
      </c>
    </row>
    <row r="47" spans="1:24" x14ac:dyDescent="0.35">
      <c r="A47">
        <v>46</v>
      </c>
      <c r="B47" t="s">
        <v>41</v>
      </c>
      <c r="C47" t="s">
        <v>91</v>
      </c>
      <c r="D47" t="s">
        <v>23</v>
      </c>
      <c r="E47">
        <v>3</v>
      </c>
      <c r="F47" t="s">
        <v>24</v>
      </c>
      <c r="G47" t="s">
        <v>32</v>
      </c>
      <c r="H47">
        <v>3.7</v>
      </c>
      <c r="I47" t="s">
        <v>26</v>
      </c>
      <c r="J47">
        <v>2.2000000000000002</v>
      </c>
      <c r="K47" t="s">
        <v>27</v>
      </c>
      <c r="L47">
        <v>3</v>
      </c>
      <c r="M47" t="s">
        <v>33</v>
      </c>
      <c r="N47" t="s">
        <v>32</v>
      </c>
      <c r="O47">
        <v>3.7</v>
      </c>
      <c r="P47" t="s">
        <v>26</v>
      </c>
      <c r="Q47">
        <v>2.2000000000000002</v>
      </c>
      <c r="R47" t="s">
        <v>97</v>
      </c>
      <c r="S47" t="s">
        <v>29</v>
      </c>
      <c r="T47" t="s">
        <v>30</v>
      </c>
      <c r="U47" s="3">
        <v>30</v>
      </c>
      <c r="V47" s="3">
        <v>14</v>
      </c>
      <c r="W47" s="3">
        <f t="shared" si="0"/>
        <v>16</v>
      </c>
      <c r="X47" s="4">
        <f t="shared" si="1"/>
        <v>53.3</v>
      </c>
    </row>
    <row r="48" spans="1:24" x14ac:dyDescent="0.35">
      <c r="A48">
        <v>47</v>
      </c>
      <c r="B48" t="s">
        <v>43</v>
      </c>
      <c r="C48" t="s">
        <v>91</v>
      </c>
      <c r="D48" t="s">
        <v>23</v>
      </c>
      <c r="E48">
        <v>3</v>
      </c>
      <c r="F48" t="s">
        <v>24</v>
      </c>
      <c r="G48" t="s">
        <v>26</v>
      </c>
      <c r="H48">
        <v>0.9</v>
      </c>
      <c r="I48" t="s">
        <v>26</v>
      </c>
      <c r="J48">
        <v>2.2999999999999998</v>
      </c>
      <c r="K48" t="s">
        <v>27</v>
      </c>
      <c r="L48">
        <v>1</v>
      </c>
      <c r="M48" t="s">
        <v>33</v>
      </c>
      <c r="N48" t="s">
        <v>26</v>
      </c>
      <c r="O48">
        <v>0.9</v>
      </c>
      <c r="P48" t="s">
        <v>26</v>
      </c>
      <c r="Q48">
        <v>2.2999999999999998</v>
      </c>
      <c r="R48" t="s">
        <v>98</v>
      </c>
      <c r="S48" t="s">
        <v>30</v>
      </c>
      <c r="T48" t="s">
        <v>30</v>
      </c>
      <c r="U48" s="3">
        <v>31</v>
      </c>
      <c r="V48" s="3">
        <v>21</v>
      </c>
      <c r="W48" s="3">
        <f t="shared" si="0"/>
        <v>10</v>
      </c>
      <c r="X48" s="4">
        <f t="shared" si="1"/>
        <v>32.299999999999997</v>
      </c>
    </row>
    <row r="49" spans="1:24" x14ac:dyDescent="0.35">
      <c r="A49">
        <v>48</v>
      </c>
      <c r="B49" t="s">
        <v>45</v>
      </c>
      <c r="C49" t="s">
        <v>91</v>
      </c>
      <c r="D49" t="s">
        <v>23</v>
      </c>
      <c r="E49">
        <v>3</v>
      </c>
      <c r="F49" t="s">
        <v>24</v>
      </c>
      <c r="G49" t="s">
        <v>26</v>
      </c>
      <c r="H49">
        <v>1.7</v>
      </c>
      <c r="I49" t="s">
        <v>26</v>
      </c>
      <c r="J49">
        <v>0.6</v>
      </c>
      <c r="K49" t="s">
        <v>27</v>
      </c>
      <c r="L49">
        <v>1</v>
      </c>
      <c r="M49" t="s">
        <v>33</v>
      </c>
      <c r="N49" t="s">
        <v>26</v>
      </c>
      <c r="O49">
        <v>1.7</v>
      </c>
      <c r="P49" t="s">
        <v>26</v>
      </c>
      <c r="Q49">
        <v>0.6</v>
      </c>
      <c r="R49" t="s">
        <v>99</v>
      </c>
      <c r="S49" t="s">
        <v>30</v>
      </c>
      <c r="T49" t="s">
        <v>30</v>
      </c>
      <c r="U49" s="3">
        <v>24</v>
      </c>
      <c r="V49" s="3">
        <v>12</v>
      </c>
      <c r="W49" s="3">
        <f t="shared" si="0"/>
        <v>12</v>
      </c>
      <c r="X49" s="4">
        <f t="shared" si="1"/>
        <v>50</v>
      </c>
    </row>
    <row r="50" spans="1:24" x14ac:dyDescent="0.35">
      <c r="A50">
        <v>49</v>
      </c>
      <c r="B50" t="s">
        <v>47</v>
      </c>
      <c r="C50" t="s">
        <v>91</v>
      </c>
      <c r="D50" t="s">
        <v>23</v>
      </c>
      <c r="E50">
        <v>1</v>
      </c>
      <c r="F50" t="s">
        <v>24</v>
      </c>
      <c r="G50" t="s">
        <v>32</v>
      </c>
      <c r="H50">
        <v>4.9000000000000004</v>
      </c>
      <c r="I50" t="s">
        <v>26</v>
      </c>
      <c r="J50">
        <v>1.9</v>
      </c>
      <c r="K50" t="s">
        <v>27</v>
      </c>
      <c r="L50">
        <v>1</v>
      </c>
      <c r="M50" t="s">
        <v>33</v>
      </c>
      <c r="N50" t="s">
        <v>32</v>
      </c>
      <c r="O50">
        <v>4.9000000000000004</v>
      </c>
      <c r="P50" t="s">
        <v>26</v>
      </c>
      <c r="Q50">
        <v>1.9</v>
      </c>
      <c r="R50" t="s">
        <v>100</v>
      </c>
      <c r="S50" t="s">
        <v>29</v>
      </c>
      <c r="T50" t="s">
        <v>30</v>
      </c>
      <c r="U50" s="3">
        <v>34</v>
      </c>
      <c r="V50" s="3">
        <v>15</v>
      </c>
      <c r="W50" s="3">
        <f t="shared" si="0"/>
        <v>19</v>
      </c>
      <c r="X50" s="4">
        <f t="shared" si="1"/>
        <v>55.9</v>
      </c>
    </row>
    <row r="51" spans="1:24" x14ac:dyDescent="0.35">
      <c r="A51">
        <v>50</v>
      </c>
      <c r="B51" t="s">
        <v>49</v>
      </c>
      <c r="C51" t="s">
        <v>91</v>
      </c>
      <c r="D51" t="s">
        <v>23</v>
      </c>
      <c r="E51">
        <v>2</v>
      </c>
      <c r="F51" t="s">
        <v>33</v>
      </c>
      <c r="G51" t="s">
        <v>26</v>
      </c>
      <c r="H51">
        <v>1.7</v>
      </c>
      <c r="I51" t="s">
        <v>26</v>
      </c>
      <c r="J51">
        <v>0.8</v>
      </c>
      <c r="K51" t="s">
        <v>27</v>
      </c>
      <c r="L51">
        <v>2</v>
      </c>
      <c r="M51" t="s">
        <v>24</v>
      </c>
      <c r="N51" t="s">
        <v>26</v>
      </c>
      <c r="O51">
        <v>1.7</v>
      </c>
      <c r="P51" t="s">
        <v>26</v>
      </c>
      <c r="Q51">
        <v>0.8</v>
      </c>
      <c r="R51" t="s">
        <v>101</v>
      </c>
      <c r="S51" t="s">
        <v>30</v>
      </c>
      <c r="T51" t="s">
        <v>30</v>
      </c>
      <c r="U51" s="3">
        <v>31</v>
      </c>
      <c r="V51" s="3">
        <v>17</v>
      </c>
      <c r="W51" s="3">
        <f t="shared" si="0"/>
        <v>14</v>
      </c>
      <c r="X51" s="4">
        <f t="shared" si="1"/>
        <v>45.2</v>
      </c>
    </row>
    <row r="52" spans="1:24" x14ac:dyDescent="0.35">
      <c r="A52">
        <v>51</v>
      </c>
      <c r="B52" t="s">
        <v>51</v>
      </c>
      <c r="C52" t="s">
        <v>91</v>
      </c>
      <c r="D52" t="s">
        <v>23</v>
      </c>
      <c r="E52">
        <v>3</v>
      </c>
      <c r="F52" t="s">
        <v>33</v>
      </c>
      <c r="G52" t="s">
        <v>32</v>
      </c>
      <c r="H52">
        <v>5</v>
      </c>
      <c r="I52" t="s">
        <v>25</v>
      </c>
      <c r="K52" t="s">
        <v>27</v>
      </c>
      <c r="L52">
        <v>1</v>
      </c>
      <c r="M52" t="s">
        <v>24</v>
      </c>
      <c r="N52" t="s">
        <v>32</v>
      </c>
      <c r="O52">
        <v>5</v>
      </c>
      <c r="P52" t="s">
        <v>25</v>
      </c>
      <c r="R52" t="s">
        <v>102</v>
      </c>
      <c r="S52" t="s">
        <v>29</v>
      </c>
      <c r="T52" t="s">
        <v>29</v>
      </c>
      <c r="U52" s="3">
        <v>32</v>
      </c>
      <c r="V52" s="3">
        <v>15</v>
      </c>
      <c r="W52" s="3">
        <f t="shared" si="0"/>
        <v>17</v>
      </c>
      <c r="X52" s="4">
        <f t="shared" si="1"/>
        <v>53.1</v>
      </c>
    </row>
    <row r="53" spans="1:24" x14ac:dyDescent="0.35">
      <c r="A53">
        <v>52</v>
      </c>
      <c r="B53" t="s">
        <v>53</v>
      </c>
      <c r="C53" t="s">
        <v>91</v>
      </c>
      <c r="D53" t="s">
        <v>23</v>
      </c>
      <c r="E53">
        <v>2</v>
      </c>
      <c r="F53" t="s">
        <v>33</v>
      </c>
      <c r="G53" t="s">
        <v>26</v>
      </c>
      <c r="H53">
        <v>1.9</v>
      </c>
      <c r="I53" t="s">
        <v>32</v>
      </c>
      <c r="J53">
        <v>4</v>
      </c>
      <c r="K53" t="s">
        <v>27</v>
      </c>
      <c r="L53">
        <v>1</v>
      </c>
      <c r="M53" t="s">
        <v>24</v>
      </c>
      <c r="N53" t="s">
        <v>26</v>
      </c>
      <c r="O53">
        <v>1.9</v>
      </c>
      <c r="P53" t="s">
        <v>32</v>
      </c>
      <c r="Q53">
        <v>4</v>
      </c>
      <c r="R53" t="s">
        <v>103</v>
      </c>
      <c r="S53" t="s">
        <v>30</v>
      </c>
      <c r="T53" t="s">
        <v>29</v>
      </c>
      <c r="U53" s="3">
        <v>28</v>
      </c>
      <c r="V53" s="3">
        <v>15</v>
      </c>
      <c r="W53" s="3">
        <f t="shared" si="0"/>
        <v>13</v>
      </c>
      <c r="X53" s="4">
        <f t="shared" si="1"/>
        <v>46.4</v>
      </c>
    </row>
    <row r="54" spans="1:24" x14ac:dyDescent="0.35">
      <c r="A54">
        <v>53</v>
      </c>
      <c r="B54" t="s">
        <v>55</v>
      </c>
      <c r="C54" t="s">
        <v>91</v>
      </c>
      <c r="D54" t="s">
        <v>23</v>
      </c>
      <c r="E54">
        <v>3</v>
      </c>
      <c r="F54" t="s">
        <v>33</v>
      </c>
      <c r="G54" t="s">
        <v>26</v>
      </c>
      <c r="H54">
        <v>1.7</v>
      </c>
      <c r="I54" t="s">
        <v>32</v>
      </c>
      <c r="J54">
        <v>3.6</v>
      </c>
      <c r="K54" t="s">
        <v>27</v>
      </c>
      <c r="L54">
        <v>2</v>
      </c>
      <c r="M54" t="s">
        <v>24</v>
      </c>
      <c r="N54" t="s">
        <v>26</v>
      </c>
      <c r="O54">
        <v>1.7</v>
      </c>
      <c r="P54" t="s">
        <v>32</v>
      </c>
      <c r="Q54">
        <v>3.6</v>
      </c>
      <c r="R54" t="s">
        <v>104</v>
      </c>
      <c r="S54" t="s">
        <v>30</v>
      </c>
      <c r="T54" t="s">
        <v>29</v>
      </c>
      <c r="U54" s="3">
        <v>28</v>
      </c>
      <c r="V54" s="3">
        <v>17</v>
      </c>
      <c r="W54" s="3">
        <f t="shared" si="0"/>
        <v>11</v>
      </c>
      <c r="X54" s="4">
        <f t="shared" si="1"/>
        <v>39.299999999999997</v>
      </c>
    </row>
    <row r="55" spans="1:24" x14ac:dyDescent="0.35">
      <c r="A55">
        <v>54</v>
      </c>
      <c r="B55" t="s">
        <v>57</v>
      </c>
      <c r="C55" t="s">
        <v>91</v>
      </c>
      <c r="D55" t="s">
        <v>23</v>
      </c>
      <c r="E55">
        <v>2</v>
      </c>
      <c r="F55" t="s">
        <v>33</v>
      </c>
      <c r="G55" t="s">
        <v>26</v>
      </c>
      <c r="H55">
        <v>1.5</v>
      </c>
      <c r="I55" t="s">
        <v>32</v>
      </c>
      <c r="J55">
        <v>4.5999999999999996</v>
      </c>
      <c r="K55" t="s">
        <v>27</v>
      </c>
      <c r="L55">
        <v>2</v>
      </c>
      <c r="M55" t="s">
        <v>33</v>
      </c>
      <c r="N55" t="s">
        <v>26</v>
      </c>
      <c r="O55">
        <v>1.5</v>
      </c>
      <c r="P55" t="s">
        <v>32</v>
      </c>
      <c r="Q55">
        <v>4.5999999999999996</v>
      </c>
      <c r="R55" t="s">
        <v>105</v>
      </c>
      <c r="S55" t="s">
        <v>30</v>
      </c>
      <c r="T55" t="s">
        <v>29</v>
      </c>
      <c r="U55" s="3">
        <v>30</v>
      </c>
      <c r="V55" s="3">
        <v>20</v>
      </c>
      <c r="W55" s="3">
        <f t="shared" si="0"/>
        <v>10</v>
      </c>
      <c r="X55" s="4">
        <f t="shared" si="1"/>
        <v>33.299999999999997</v>
      </c>
    </row>
    <row r="56" spans="1:24" x14ac:dyDescent="0.35">
      <c r="A56">
        <v>55</v>
      </c>
      <c r="B56" t="s">
        <v>59</v>
      </c>
      <c r="C56" t="s">
        <v>91</v>
      </c>
      <c r="D56" t="s">
        <v>23</v>
      </c>
      <c r="E56">
        <v>3</v>
      </c>
      <c r="F56" t="s">
        <v>24</v>
      </c>
      <c r="G56" t="s">
        <v>26</v>
      </c>
      <c r="H56">
        <v>2.6</v>
      </c>
      <c r="I56" t="s">
        <v>32</v>
      </c>
      <c r="J56">
        <v>4.5</v>
      </c>
      <c r="K56" t="s">
        <v>27</v>
      </c>
      <c r="L56">
        <v>3</v>
      </c>
      <c r="M56" t="s">
        <v>33</v>
      </c>
      <c r="N56" t="s">
        <v>26</v>
      </c>
      <c r="O56">
        <v>2.6</v>
      </c>
      <c r="P56" t="s">
        <v>32</v>
      </c>
      <c r="Q56">
        <v>4.5</v>
      </c>
      <c r="R56" t="s">
        <v>106</v>
      </c>
      <c r="S56" t="s">
        <v>30</v>
      </c>
      <c r="T56" t="s">
        <v>29</v>
      </c>
      <c r="U56" s="3">
        <v>29</v>
      </c>
      <c r="V56" s="3">
        <v>20</v>
      </c>
      <c r="W56" s="3">
        <f t="shared" si="0"/>
        <v>9</v>
      </c>
      <c r="X56" s="4">
        <f t="shared" si="1"/>
        <v>31</v>
      </c>
    </row>
    <row r="57" spans="1:24" x14ac:dyDescent="0.35">
      <c r="A57">
        <v>56</v>
      </c>
      <c r="B57" t="s">
        <v>61</v>
      </c>
      <c r="C57" t="s">
        <v>91</v>
      </c>
      <c r="D57" t="s">
        <v>23</v>
      </c>
      <c r="E57">
        <v>3</v>
      </c>
      <c r="F57" t="s">
        <v>24</v>
      </c>
      <c r="G57" t="s">
        <v>26</v>
      </c>
      <c r="H57">
        <v>1.2</v>
      </c>
      <c r="I57" t="s">
        <v>26</v>
      </c>
      <c r="J57">
        <v>0.8</v>
      </c>
      <c r="K57" t="s">
        <v>27</v>
      </c>
      <c r="L57">
        <v>3</v>
      </c>
      <c r="M57" t="s">
        <v>24</v>
      </c>
      <c r="N57" t="s">
        <v>26</v>
      </c>
      <c r="O57">
        <v>1.2</v>
      </c>
      <c r="P57" t="s">
        <v>26</v>
      </c>
      <c r="Q57">
        <v>0.8</v>
      </c>
      <c r="R57" t="s">
        <v>107</v>
      </c>
      <c r="S57" t="s">
        <v>30</v>
      </c>
      <c r="T57" t="s">
        <v>30</v>
      </c>
      <c r="U57" s="3">
        <v>33</v>
      </c>
      <c r="V57" s="3">
        <v>15</v>
      </c>
      <c r="W57" s="3">
        <f t="shared" si="0"/>
        <v>18</v>
      </c>
      <c r="X57" s="4">
        <f t="shared" si="1"/>
        <v>54.5</v>
      </c>
    </row>
    <row r="58" spans="1:24" x14ac:dyDescent="0.35">
      <c r="A58">
        <v>57</v>
      </c>
      <c r="B58" t="s">
        <v>63</v>
      </c>
      <c r="C58" t="s">
        <v>91</v>
      </c>
      <c r="D58" t="s">
        <v>23</v>
      </c>
      <c r="E58">
        <v>2</v>
      </c>
      <c r="F58" t="s">
        <v>24</v>
      </c>
      <c r="G58" t="s">
        <v>25</v>
      </c>
      <c r="I58" t="s">
        <v>26</v>
      </c>
      <c r="J58">
        <v>1.7</v>
      </c>
      <c r="K58" t="s">
        <v>27</v>
      </c>
      <c r="L58">
        <v>1</v>
      </c>
      <c r="M58" t="s">
        <v>24</v>
      </c>
      <c r="N58" t="s">
        <v>25</v>
      </c>
      <c r="P58" t="s">
        <v>26</v>
      </c>
      <c r="Q58">
        <v>1.7</v>
      </c>
      <c r="R58" t="s">
        <v>108</v>
      </c>
      <c r="S58" t="s">
        <v>29</v>
      </c>
      <c r="T58" t="s">
        <v>30</v>
      </c>
      <c r="U58" s="3">
        <v>31</v>
      </c>
      <c r="V58" s="3">
        <v>20</v>
      </c>
      <c r="W58" s="3">
        <f t="shared" si="0"/>
        <v>11</v>
      </c>
      <c r="X58" s="4">
        <f t="shared" si="1"/>
        <v>35.5</v>
      </c>
    </row>
    <row r="59" spans="1:24" x14ac:dyDescent="0.35">
      <c r="A59">
        <v>58</v>
      </c>
      <c r="B59" t="s">
        <v>65</v>
      </c>
      <c r="C59" t="s">
        <v>91</v>
      </c>
      <c r="D59" t="s">
        <v>23</v>
      </c>
      <c r="E59">
        <v>1</v>
      </c>
      <c r="F59" t="s">
        <v>24</v>
      </c>
      <c r="G59" t="s">
        <v>25</v>
      </c>
      <c r="I59" t="s">
        <v>32</v>
      </c>
      <c r="J59">
        <v>3.7</v>
      </c>
      <c r="K59" t="s">
        <v>27</v>
      </c>
      <c r="L59">
        <v>1</v>
      </c>
      <c r="M59" t="s">
        <v>24</v>
      </c>
      <c r="N59" t="s">
        <v>25</v>
      </c>
      <c r="P59" t="s">
        <v>32</v>
      </c>
      <c r="Q59">
        <v>3.7</v>
      </c>
      <c r="R59" t="s">
        <v>109</v>
      </c>
      <c r="S59" t="s">
        <v>29</v>
      </c>
      <c r="T59" t="s">
        <v>29</v>
      </c>
      <c r="U59" s="3">
        <v>28</v>
      </c>
      <c r="V59" s="3">
        <v>14</v>
      </c>
      <c r="W59" s="3">
        <f t="shared" si="0"/>
        <v>14</v>
      </c>
      <c r="X59" s="4">
        <f t="shared" si="1"/>
        <v>50</v>
      </c>
    </row>
    <row r="60" spans="1:24" x14ac:dyDescent="0.35">
      <c r="A60">
        <v>59</v>
      </c>
      <c r="B60" t="s">
        <v>67</v>
      </c>
      <c r="C60" t="s">
        <v>91</v>
      </c>
      <c r="D60" t="s">
        <v>23</v>
      </c>
      <c r="E60">
        <v>1</v>
      </c>
      <c r="F60" t="s">
        <v>24</v>
      </c>
      <c r="G60" t="s">
        <v>32</v>
      </c>
      <c r="H60">
        <v>3.6</v>
      </c>
      <c r="I60" t="s">
        <v>26</v>
      </c>
      <c r="J60">
        <v>1.1000000000000001</v>
      </c>
      <c r="K60" t="s">
        <v>27</v>
      </c>
      <c r="L60">
        <v>1</v>
      </c>
      <c r="M60" t="s">
        <v>24</v>
      </c>
      <c r="N60" t="s">
        <v>32</v>
      </c>
      <c r="O60">
        <v>3.6</v>
      </c>
      <c r="P60" t="s">
        <v>26</v>
      </c>
      <c r="Q60">
        <v>1.1000000000000001</v>
      </c>
      <c r="R60" t="s">
        <v>110</v>
      </c>
      <c r="S60" t="s">
        <v>29</v>
      </c>
      <c r="T60" t="s">
        <v>30</v>
      </c>
      <c r="U60" s="3">
        <v>21</v>
      </c>
      <c r="V60" s="3">
        <v>17</v>
      </c>
      <c r="W60" s="3">
        <f t="shared" si="0"/>
        <v>4</v>
      </c>
      <c r="X60" s="4">
        <f t="shared" si="1"/>
        <v>19</v>
      </c>
    </row>
    <row r="61" spans="1:24" x14ac:dyDescent="0.35">
      <c r="A61">
        <v>60</v>
      </c>
      <c r="B61" t="s">
        <v>69</v>
      </c>
      <c r="C61" t="s">
        <v>91</v>
      </c>
      <c r="D61" t="s">
        <v>23</v>
      </c>
      <c r="E61">
        <v>1</v>
      </c>
      <c r="F61" t="s">
        <v>33</v>
      </c>
      <c r="G61" t="s">
        <v>32</v>
      </c>
      <c r="H61">
        <v>3.5</v>
      </c>
      <c r="I61" t="s">
        <v>25</v>
      </c>
      <c r="K61" t="s">
        <v>27</v>
      </c>
      <c r="L61">
        <v>1</v>
      </c>
      <c r="M61" t="s">
        <v>24</v>
      </c>
      <c r="N61" t="s">
        <v>32</v>
      </c>
      <c r="O61">
        <v>3.5</v>
      </c>
      <c r="P61" t="s">
        <v>25</v>
      </c>
      <c r="R61" t="s">
        <v>111</v>
      </c>
      <c r="S61" t="s">
        <v>29</v>
      </c>
      <c r="T61" t="s">
        <v>29</v>
      </c>
      <c r="U61" s="3">
        <v>35</v>
      </c>
      <c r="V61" s="3">
        <v>17</v>
      </c>
      <c r="W61" s="3">
        <f t="shared" si="0"/>
        <v>18</v>
      </c>
      <c r="X61" s="4">
        <f t="shared" si="1"/>
        <v>51.4</v>
      </c>
    </row>
    <row r="62" spans="1:24" x14ac:dyDescent="0.35">
      <c r="A62">
        <v>61</v>
      </c>
      <c r="B62" t="s">
        <v>21</v>
      </c>
      <c r="C62" t="s">
        <v>91</v>
      </c>
      <c r="D62" t="s">
        <v>23</v>
      </c>
      <c r="E62">
        <v>2</v>
      </c>
      <c r="F62" t="s">
        <v>33</v>
      </c>
      <c r="G62" t="s">
        <v>25</v>
      </c>
      <c r="I62" t="s">
        <v>32</v>
      </c>
      <c r="J62">
        <v>4.4000000000000004</v>
      </c>
      <c r="K62" t="s">
        <v>27</v>
      </c>
      <c r="L62">
        <v>3</v>
      </c>
      <c r="M62" t="s">
        <v>33</v>
      </c>
      <c r="N62" t="s">
        <v>25</v>
      </c>
      <c r="P62" t="s">
        <v>32</v>
      </c>
      <c r="Q62">
        <v>4.4000000000000004</v>
      </c>
      <c r="R62" t="s">
        <v>112</v>
      </c>
      <c r="S62" t="s">
        <v>112</v>
      </c>
      <c r="T62" t="s">
        <v>112</v>
      </c>
      <c r="U62" s="3">
        <v>30</v>
      </c>
      <c r="V62" s="3">
        <v>19</v>
      </c>
      <c r="W62" s="3">
        <f t="shared" si="0"/>
        <v>11</v>
      </c>
      <c r="X62" s="4">
        <f t="shared" si="1"/>
        <v>36.700000000000003</v>
      </c>
    </row>
    <row r="63" spans="1:24" x14ac:dyDescent="0.35">
      <c r="A63">
        <v>62</v>
      </c>
      <c r="B63" t="s">
        <v>31</v>
      </c>
      <c r="C63" t="s">
        <v>91</v>
      </c>
      <c r="D63" t="s">
        <v>23</v>
      </c>
      <c r="E63">
        <v>2</v>
      </c>
      <c r="F63" t="s">
        <v>33</v>
      </c>
      <c r="G63" t="s">
        <v>32</v>
      </c>
      <c r="H63">
        <v>4.4000000000000004</v>
      </c>
      <c r="I63" t="s">
        <v>26</v>
      </c>
      <c r="J63">
        <v>1.2</v>
      </c>
      <c r="K63" t="s">
        <v>27</v>
      </c>
      <c r="L63">
        <v>2</v>
      </c>
      <c r="M63" t="s">
        <v>24</v>
      </c>
      <c r="N63" t="s">
        <v>32</v>
      </c>
      <c r="O63">
        <v>4.4000000000000004</v>
      </c>
      <c r="P63" t="s">
        <v>26</v>
      </c>
      <c r="Q63">
        <v>1.2</v>
      </c>
      <c r="R63" t="s">
        <v>112</v>
      </c>
      <c r="S63" t="s">
        <v>112</v>
      </c>
      <c r="T63" t="s">
        <v>112</v>
      </c>
      <c r="U63" s="3">
        <v>27</v>
      </c>
      <c r="V63" s="3">
        <v>18</v>
      </c>
      <c r="W63" s="3">
        <f t="shared" si="0"/>
        <v>9</v>
      </c>
      <c r="X63" s="4">
        <f t="shared" si="1"/>
        <v>33.299999999999997</v>
      </c>
    </row>
    <row r="64" spans="1:24" x14ac:dyDescent="0.35">
      <c r="A64">
        <v>63</v>
      </c>
      <c r="B64" t="s">
        <v>35</v>
      </c>
      <c r="C64" t="s">
        <v>91</v>
      </c>
      <c r="D64" t="s">
        <v>23</v>
      </c>
      <c r="E64">
        <v>2</v>
      </c>
      <c r="F64" t="s">
        <v>24</v>
      </c>
      <c r="G64" t="s">
        <v>32</v>
      </c>
      <c r="H64">
        <v>4.7</v>
      </c>
      <c r="I64" t="s">
        <v>26</v>
      </c>
      <c r="J64">
        <v>1.5</v>
      </c>
      <c r="K64" t="s">
        <v>27</v>
      </c>
      <c r="L64">
        <v>1</v>
      </c>
      <c r="M64" t="s">
        <v>33</v>
      </c>
      <c r="N64" t="s">
        <v>32</v>
      </c>
      <c r="O64">
        <v>4.7</v>
      </c>
      <c r="P64" t="s">
        <v>26</v>
      </c>
      <c r="Q64">
        <v>1.5</v>
      </c>
      <c r="R64" t="s">
        <v>112</v>
      </c>
      <c r="S64" t="s">
        <v>112</v>
      </c>
      <c r="T64" t="s">
        <v>112</v>
      </c>
      <c r="U64" s="3">
        <v>30</v>
      </c>
      <c r="V64" s="3">
        <v>19</v>
      </c>
      <c r="W64" s="3">
        <f t="shared" si="0"/>
        <v>11</v>
      </c>
      <c r="X64" s="4">
        <f t="shared" si="1"/>
        <v>36.700000000000003</v>
      </c>
    </row>
    <row r="65" spans="1:24" x14ac:dyDescent="0.35">
      <c r="A65">
        <v>64</v>
      </c>
      <c r="B65" t="s">
        <v>37</v>
      </c>
      <c r="C65" t="s">
        <v>91</v>
      </c>
      <c r="D65" t="s">
        <v>23</v>
      </c>
      <c r="E65">
        <v>1</v>
      </c>
      <c r="F65" t="s">
        <v>24</v>
      </c>
      <c r="G65" t="s">
        <v>25</v>
      </c>
      <c r="I65" t="s">
        <v>25</v>
      </c>
      <c r="K65" t="s">
        <v>27</v>
      </c>
      <c r="L65">
        <v>1</v>
      </c>
      <c r="M65" t="s">
        <v>33</v>
      </c>
      <c r="N65" t="s">
        <v>25</v>
      </c>
      <c r="P65" t="s">
        <v>25</v>
      </c>
      <c r="R65" t="s">
        <v>112</v>
      </c>
      <c r="S65" t="s">
        <v>112</v>
      </c>
      <c r="T65" t="s">
        <v>112</v>
      </c>
      <c r="U65" s="3">
        <v>22</v>
      </c>
      <c r="V65" s="3">
        <v>18</v>
      </c>
      <c r="W65" s="3">
        <f t="shared" si="0"/>
        <v>4</v>
      </c>
      <c r="X65" s="4">
        <f t="shared" si="1"/>
        <v>18.2</v>
      </c>
    </row>
    <row r="66" spans="1:24" x14ac:dyDescent="0.35">
      <c r="A66">
        <v>65</v>
      </c>
      <c r="B66" t="s">
        <v>39</v>
      </c>
      <c r="C66" t="s">
        <v>91</v>
      </c>
      <c r="D66" t="s">
        <v>23</v>
      </c>
      <c r="E66">
        <v>1</v>
      </c>
      <c r="F66" t="s">
        <v>24</v>
      </c>
      <c r="G66" t="s">
        <v>32</v>
      </c>
      <c r="H66">
        <v>4.5999999999999996</v>
      </c>
      <c r="I66" t="s">
        <v>26</v>
      </c>
      <c r="J66">
        <v>1.3</v>
      </c>
      <c r="K66" t="s">
        <v>27</v>
      </c>
      <c r="L66">
        <v>2</v>
      </c>
      <c r="M66" t="s">
        <v>33</v>
      </c>
      <c r="N66" t="s">
        <v>32</v>
      </c>
      <c r="O66">
        <v>4.5999999999999996</v>
      </c>
      <c r="P66" t="s">
        <v>26</v>
      </c>
      <c r="Q66">
        <v>1.3</v>
      </c>
      <c r="R66" t="s">
        <v>112</v>
      </c>
      <c r="S66" t="s">
        <v>112</v>
      </c>
      <c r="T66" t="s">
        <v>112</v>
      </c>
      <c r="U66" s="3">
        <v>37</v>
      </c>
      <c r="V66" s="3">
        <v>17</v>
      </c>
      <c r="W66" s="3">
        <f t="shared" ref="W66:W121" si="2">U66-V66</f>
        <v>20</v>
      </c>
      <c r="X66" s="4">
        <f t="shared" ref="X66:X121" si="3">ROUND(W66/U66*100,1)</f>
        <v>54.1</v>
      </c>
    </row>
    <row r="67" spans="1:24" x14ac:dyDescent="0.35">
      <c r="A67">
        <v>66</v>
      </c>
      <c r="B67" t="s">
        <v>41</v>
      </c>
      <c r="C67" t="s">
        <v>91</v>
      </c>
      <c r="D67" t="s">
        <v>23</v>
      </c>
      <c r="E67">
        <v>2</v>
      </c>
      <c r="F67" t="s">
        <v>24</v>
      </c>
      <c r="G67" t="s">
        <v>26</v>
      </c>
      <c r="H67">
        <v>0.6</v>
      </c>
      <c r="I67" t="s">
        <v>26</v>
      </c>
      <c r="J67">
        <v>1.9</v>
      </c>
      <c r="K67" t="s">
        <v>27</v>
      </c>
      <c r="L67">
        <v>3</v>
      </c>
      <c r="M67" t="s">
        <v>33</v>
      </c>
      <c r="N67" t="s">
        <v>26</v>
      </c>
      <c r="O67">
        <v>0.6</v>
      </c>
      <c r="P67" t="s">
        <v>26</v>
      </c>
      <c r="Q67">
        <v>1.9</v>
      </c>
      <c r="R67" t="s">
        <v>112</v>
      </c>
      <c r="S67" t="s">
        <v>112</v>
      </c>
      <c r="T67" t="s">
        <v>112</v>
      </c>
      <c r="U67" s="3">
        <v>39</v>
      </c>
      <c r="V67" s="3">
        <v>20</v>
      </c>
      <c r="W67" s="3">
        <f t="shared" si="2"/>
        <v>19</v>
      </c>
      <c r="X67" s="4">
        <f t="shared" si="3"/>
        <v>48.7</v>
      </c>
    </row>
    <row r="68" spans="1:24" x14ac:dyDescent="0.35">
      <c r="A68">
        <v>67</v>
      </c>
      <c r="B68" t="s">
        <v>43</v>
      </c>
      <c r="C68" t="s">
        <v>91</v>
      </c>
      <c r="D68" t="s">
        <v>23</v>
      </c>
      <c r="E68">
        <v>3</v>
      </c>
      <c r="F68" t="s">
        <v>24</v>
      </c>
      <c r="G68" t="s">
        <v>26</v>
      </c>
      <c r="H68">
        <v>2.2000000000000002</v>
      </c>
      <c r="I68" t="s">
        <v>26</v>
      </c>
      <c r="J68">
        <v>0.9</v>
      </c>
      <c r="K68" t="s">
        <v>27</v>
      </c>
      <c r="L68">
        <v>3</v>
      </c>
      <c r="M68" t="s">
        <v>33</v>
      </c>
      <c r="N68" t="s">
        <v>26</v>
      </c>
      <c r="O68">
        <v>2.2000000000000002</v>
      </c>
      <c r="P68" t="s">
        <v>26</v>
      </c>
      <c r="Q68">
        <v>0.9</v>
      </c>
      <c r="R68" t="s">
        <v>112</v>
      </c>
      <c r="S68" t="s">
        <v>112</v>
      </c>
      <c r="T68" t="s">
        <v>112</v>
      </c>
      <c r="U68" s="3">
        <v>22</v>
      </c>
      <c r="V68" s="3">
        <v>17</v>
      </c>
      <c r="W68" s="3">
        <f t="shared" si="2"/>
        <v>5</v>
      </c>
      <c r="X68" s="4">
        <f t="shared" si="3"/>
        <v>22.7</v>
      </c>
    </row>
    <row r="69" spans="1:24" x14ac:dyDescent="0.35">
      <c r="A69">
        <v>68</v>
      </c>
      <c r="B69" t="s">
        <v>45</v>
      </c>
      <c r="C69" t="s">
        <v>91</v>
      </c>
      <c r="D69" t="s">
        <v>23</v>
      </c>
      <c r="E69">
        <v>3</v>
      </c>
      <c r="F69" t="s">
        <v>24</v>
      </c>
      <c r="G69" t="s">
        <v>25</v>
      </c>
      <c r="I69" t="s">
        <v>32</v>
      </c>
      <c r="J69">
        <v>3.5</v>
      </c>
      <c r="K69" t="s">
        <v>27</v>
      </c>
      <c r="L69">
        <v>3</v>
      </c>
      <c r="M69" t="s">
        <v>33</v>
      </c>
      <c r="N69" t="s">
        <v>25</v>
      </c>
      <c r="P69" t="s">
        <v>32</v>
      </c>
      <c r="Q69">
        <v>3.5</v>
      </c>
      <c r="R69" t="s">
        <v>112</v>
      </c>
      <c r="S69" t="s">
        <v>112</v>
      </c>
      <c r="T69" t="s">
        <v>112</v>
      </c>
      <c r="U69" s="3">
        <v>27</v>
      </c>
      <c r="V69" s="3">
        <v>13</v>
      </c>
      <c r="W69" s="3">
        <f t="shared" si="2"/>
        <v>14</v>
      </c>
      <c r="X69" s="4">
        <f t="shared" si="3"/>
        <v>51.9</v>
      </c>
    </row>
    <row r="70" spans="1:24" x14ac:dyDescent="0.35">
      <c r="A70">
        <v>69</v>
      </c>
      <c r="B70" t="s">
        <v>47</v>
      </c>
      <c r="C70" t="s">
        <v>91</v>
      </c>
      <c r="D70" t="s">
        <v>23</v>
      </c>
      <c r="E70">
        <v>2</v>
      </c>
      <c r="F70" t="s">
        <v>24</v>
      </c>
      <c r="G70" t="s">
        <v>25</v>
      </c>
      <c r="I70" t="s">
        <v>26</v>
      </c>
      <c r="J70">
        <v>2.2000000000000002</v>
      </c>
      <c r="K70" t="s">
        <v>27</v>
      </c>
      <c r="L70">
        <v>1</v>
      </c>
      <c r="M70" t="s">
        <v>24</v>
      </c>
      <c r="N70" t="s">
        <v>25</v>
      </c>
      <c r="P70" t="s">
        <v>26</v>
      </c>
      <c r="Q70">
        <v>2.2000000000000002</v>
      </c>
      <c r="R70" t="s">
        <v>112</v>
      </c>
      <c r="S70" t="s">
        <v>112</v>
      </c>
      <c r="T70" t="s">
        <v>112</v>
      </c>
      <c r="U70" s="3">
        <v>34</v>
      </c>
      <c r="V70" s="3">
        <v>19</v>
      </c>
      <c r="W70" s="3">
        <f t="shared" si="2"/>
        <v>15</v>
      </c>
      <c r="X70" s="4">
        <f t="shared" si="3"/>
        <v>44.1</v>
      </c>
    </row>
    <row r="71" spans="1:24" x14ac:dyDescent="0.35">
      <c r="A71">
        <v>70</v>
      </c>
      <c r="B71" t="s">
        <v>49</v>
      </c>
      <c r="C71" t="s">
        <v>91</v>
      </c>
      <c r="D71" t="s">
        <v>23</v>
      </c>
      <c r="E71">
        <v>2</v>
      </c>
      <c r="F71" t="s">
        <v>24</v>
      </c>
      <c r="G71" t="s">
        <v>32</v>
      </c>
      <c r="H71">
        <v>4.3</v>
      </c>
      <c r="I71" t="s">
        <v>26</v>
      </c>
      <c r="J71">
        <v>1</v>
      </c>
      <c r="K71" t="s">
        <v>27</v>
      </c>
      <c r="L71">
        <v>2</v>
      </c>
      <c r="M71" t="s">
        <v>24</v>
      </c>
      <c r="N71" t="s">
        <v>32</v>
      </c>
      <c r="O71">
        <v>4.3</v>
      </c>
      <c r="P71" t="s">
        <v>26</v>
      </c>
      <c r="Q71">
        <v>1</v>
      </c>
      <c r="R71" t="s">
        <v>112</v>
      </c>
      <c r="S71" t="s">
        <v>112</v>
      </c>
      <c r="T71" t="s">
        <v>112</v>
      </c>
      <c r="U71" s="3">
        <v>26</v>
      </c>
      <c r="V71" s="3">
        <v>15</v>
      </c>
      <c r="W71" s="3">
        <f t="shared" si="2"/>
        <v>11</v>
      </c>
      <c r="X71" s="4">
        <f t="shared" si="3"/>
        <v>42.3</v>
      </c>
    </row>
    <row r="72" spans="1:24" x14ac:dyDescent="0.35">
      <c r="A72">
        <v>71</v>
      </c>
      <c r="B72" t="s">
        <v>51</v>
      </c>
      <c r="C72" t="s">
        <v>91</v>
      </c>
      <c r="D72" t="s">
        <v>23</v>
      </c>
      <c r="E72">
        <v>1</v>
      </c>
      <c r="F72" t="s">
        <v>24</v>
      </c>
      <c r="G72" t="s">
        <v>26</v>
      </c>
      <c r="H72">
        <v>1</v>
      </c>
      <c r="I72" t="s">
        <v>32</v>
      </c>
      <c r="J72">
        <v>3.4</v>
      </c>
      <c r="K72" t="s">
        <v>27</v>
      </c>
      <c r="L72">
        <v>1</v>
      </c>
      <c r="M72" t="s">
        <v>24</v>
      </c>
      <c r="N72" t="s">
        <v>26</v>
      </c>
      <c r="O72">
        <v>1</v>
      </c>
      <c r="P72" t="s">
        <v>32</v>
      </c>
      <c r="Q72">
        <v>3.4</v>
      </c>
      <c r="R72" t="s">
        <v>112</v>
      </c>
      <c r="S72" t="s">
        <v>112</v>
      </c>
      <c r="T72" t="s">
        <v>112</v>
      </c>
      <c r="U72" s="3">
        <v>31</v>
      </c>
      <c r="V72" s="3">
        <v>15</v>
      </c>
      <c r="W72" s="3">
        <f t="shared" si="2"/>
        <v>16</v>
      </c>
      <c r="X72" s="4">
        <f t="shared" si="3"/>
        <v>51.6</v>
      </c>
    </row>
    <row r="73" spans="1:24" x14ac:dyDescent="0.35">
      <c r="A73">
        <v>72</v>
      </c>
      <c r="B73" t="s">
        <v>53</v>
      </c>
      <c r="C73" t="s">
        <v>91</v>
      </c>
      <c r="D73" t="s">
        <v>23</v>
      </c>
      <c r="E73">
        <v>1</v>
      </c>
      <c r="F73" t="s">
        <v>24</v>
      </c>
      <c r="G73" t="s">
        <v>25</v>
      </c>
      <c r="I73" t="s">
        <v>32</v>
      </c>
      <c r="J73">
        <v>4.2</v>
      </c>
      <c r="K73" t="s">
        <v>27</v>
      </c>
      <c r="L73">
        <v>1</v>
      </c>
      <c r="M73" t="s">
        <v>33</v>
      </c>
      <c r="N73" t="s">
        <v>25</v>
      </c>
      <c r="P73" t="s">
        <v>32</v>
      </c>
      <c r="Q73">
        <v>4.2</v>
      </c>
      <c r="R73" t="s">
        <v>112</v>
      </c>
      <c r="S73" t="s">
        <v>112</v>
      </c>
      <c r="T73" t="s">
        <v>112</v>
      </c>
      <c r="U73" s="3">
        <v>28</v>
      </c>
      <c r="V73" s="3">
        <v>17</v>
      </c>
      <c r="W73" s="3">
        <f t="shared" si="2"/>
        <v>11</v>
      </c>
      <c r="X73" s="4">
        <f t="shared" si="3"/>
        <v>39.299999999999997</v>
      </c>
    </row>
    <row r="74" spans="1:24" x14ac:dyDescent="0.35">
      <c r="A74">
        <v>73</v>
      </c>
      <c r="B74" t="s">
        <v>55</v>
      </c>
      <c r="C74" t="s">
        <v>91</v>
      </c>
      <c r="D74" t="s">
        <v>23</v>
      </c>
      <c r="E74">
        <v>2</v>
      </c>
      <c r="F74" t="s">
        <v>33</v>
      </c>
      <c r="G74" t="s">
        <v>25</v>
      </c>
      <c r="I74" t="s">
        <v>26</v>
      </c>
      <c r="J74">
        <v>1.4</v>
      </c>
      <c r="K74" t="s">
        <v>27</v>
      </c>
      <c r="L74">
        <v>2</v>
      </c>
      <c r="M74" t="s">
        <v>33</v>
      </c>
      <c r="N74" t="s">
        <v>25</v>
      </c>
      <c r="P74" t="s">
        <v>26</v>
      </c>
      <c r="Q74">
        <v>1.4</v>
      </c>
      <c r="R74" t="s">
        <v>112</v>
      </c>
      <c r="S74" t="s">
        <v>112</v>
      </c>
      <c r="T74" t="s">
        <v>112</v>
      </c>
      <c r="U74" s="3">
        <v>35</v>
      </c>
      <c r="V74" s="3">
        <v>18</v>
      </c>
      <c r="W74" s="3">
        <f t="shared" si="2"/>
        <v>17</v>
      </c>
      <c r="X74" s="4">
        <f t="shared" si="3"/>
        <v>48.6</v>
      </c>
    </row>
    <row r="75" spans="1:24" x14ac:dyDescent="0.35">
      <c r="A75">
        <v>74</v>
      </c>
      <c r="B75" t="s">
        <v>57</v>
      </c>
      <c r="C75" t="s">
        <v>91</v>
      </c>
      <c r="D75" t="s">
        <v>23</v>
      </c>
      <c r="E75">
        <v>3</v>
      </c>
      <c r="F75" t="s">
        <v>33</v>
      </c>
      <c r="G75" t="s">
        <v>25</v>
      </c>
      <c r="I75" t="s">
        <v>26</v>
      </c>
      <c r="J75">
        <v>2.1</v>
      </c>
      <c r="K75" t="s">
        <v>27</v>
      </c>
      <c r="L75">
        <v>3</v>
      </c>
      <c r="M75" t="s">
        <v>24</v>
      </c>
      <c r="N75" t="s">
        <v>25</v>
      </c>
      <c r="P75" t="s">
        <v>26</v>
      </c>
      <c r="Q75">
        <v>2.1</v>
      </c>
      <c r="R75" t="s">
        <v>112</v>
      </c>
      <c r="S75" t="s">
        <v>112</v>
      </c>
      <c r="T75" t="s">
        <v>112</v>
      </c>
      <c r="U75" s="3">
        <v>38</v>
      </c>
      <c r="V75" s="3">
        <v>20</v>
      </c>
      <c r="W75" s="3">
        <f t="shared" si="2"/>
        <v>18</v>
      </c>
      <c r="X75" s="4">
        <f t="shared" si="3"/>
        <v>47.4</v>
      </c>
    </row>
    <row r="76" spans="1:24" x14ac:dyDescent="0.35">
      <c r="A76">
        <v>75</v>
      </c>
      <c r="B76" t="s">
        <v>59</v>
      </c>
      <c r="C76" t="s">
        <v>91</v>
      </c>
      <c r="D76" t="s">
        <v>23</v>
      </c>
      <c r="E76">
        <v>1</v>
      </c>
      <c r="F76" t="s">
        <v>24</v>
      </c>
      <c r="G76" t="s">
        <v>25</v>
      </c>
      <c r="I76" t="s">
        <v>26</v>
      </c>
      <c r="J76">
        <v>1.4</v>
      </c>
      <c r="K76" t="s">
        <v>27</v>
      </c>
      <c r="L76">
        <v>3</v>
      </c>
      <c r="M76" t="s">
        <v>33</v>
      </c>
      <c r="N76" t="s">
        <v>25</v>
      </c>
      <c r="P76" t="s">
        <v>26</v>
      </c>
      <c r="Q76">
        <v>1.4</v>
      </c>
      <c r="R76" t="s">
        <v>112</v>
      </c>
      <c r="S76" t="s">
        <v>112</v>
      </c>
      <c r="T76" t="s">
        <v>112</v>
      </c>
      <c r="U76" s="3">
        <v>37</v>
      </c>
      <c r="V76" s="3">
        <v>20</v>
      </c>
      <c r="W76" s="3">
        <f t="shared" si="2"/>
        <v>17</v>
      </c>
      <c r="X76" s="4">
        <f t="shared" si="3"/>
        <v>45.9</v>
      </c>
    </row>
    <row r="77" spans="1:24" x14ac:dyDescent="0.35">
      <c r="A77">
        <v>76</v>
      </c>
      <c r="B77" t="s">
        <v>61</v>
      </c>
      <c r="C77" t="s">
        <v>91</v>
      </c>
      <c r="D77" t="s">
        <v>23</v>
      </c>
      <c r="E77">
        <v>3</v>
      </c>
      <c r="F77" t="s">
        <v>24</v>
      </c>
      <c r="G77" t="s">
        <v>32</v>
      </c>
      <c r="H77">
        <v>3.7</v>
      </c>
      <c r="I77" t="s">
        <v>26</v>
      </c>
      <c r="J77">
        <v>0.4</v>
      </c>
      <c r="K77" t="s">
        <v>27</v>
      </c>
      <c r="L77">
        <v>2</v>
      </c>
      <c r="M77" t="s">
        <v>24</v>
      </c>
      <c r="N77" t="s">
        <v>32</v>
      </c>
      <c r="O77">
        <v>3.7</v>
      </c>
      <c r="P77" t="s">
        <v>26</v>
      </c>
      <c r="Q77">
        <v>0.4</v>
      </c>
      <c r="R77" t="s">
        <v>112</v>
      </c>
      <c r="S77" t="s">
        <v>112</v>
      </c>
      <c r="T77" t="s">
        <v>112</v>
      </c>
      <c r="U77" s="3">
        <v>32</v>
      </c>
      <c r="V77" s="3">
        <v>18</v>
      </c>
      <c r="W77" s="3">
        <f t="shared" si="2"/>
        <v>14</v>
      </c>
      <c r="X77" s="4">
        <f t="shared" si="3"/>
        <v>43.8</v>
      </c>
    </row>
    <row r="78" spans="1:24" x14ac:dyDescent="0.35">
      <c r="A78">
        <v>77</v>
      </c>
      <c r="B78" t="s">
        <v>63</v>
      </c>
      <c r="C78" t="s">
        <v>91</v>
      </c>
      <c r="D78" t="s">
        <v>23</v>
      </c>
      <c r="E78">
        <v>3</v>
      </c>
      <c r="F78" t="s">
        <v>33</v>
      </c>
      <c r="G78" t="s">
        <v>25</v>
      </c>
      <c r="I78" t="s">
        <v>26</v>
      </c>
      <c r="J78">
        <v>0.9</v>
      </c>
      <c r="K78" t="s">
        <v>27</v>
      </c>
      <c r="L78">
        <v>2</v>
      </c>
      <c r="M78" t="s">
        <v>24</v>
      </c>
      <c r="N78" t="s">
        <v>25</v>
      </c>
      <c r="P78" t="s">
        <v>26</v>
      </c>
      <c r="Q78">
        <v>0.9</v>
      </c>
      <c r="R78" t="s">
        <v>112</v>
      </c>
      <c r="S78" t="s">
        <v>112</v>
      </c>
      <c r="T78" t="s">
        <v>112</v>
      </c>
      <c r="U78" s="3">
        <v>24</v>
      </c>
      <c r="V78" s="3">
        <v>18</v>
      </c>
      <c r="W78" s="3">
        <f t="shared" si="2"/>
        <v>6</v>
      </c>
      <c r="X78" s="4">
        <f t="shared" si="3"/>
        <v>25</v>
      </c>
    </row>
    <row r="79" spans="1:24" x14ac:dyDescent="0.35">
      <c r="A79">
        <v>78</v>
      </c>
      <c r="B79" t="s">
        <v>65</v>
      </c>
      <c r="C79" t="s">
        <v>91</v>
      </c>
      <c r="D79" t="s">
        <v>23</v>
      </c>
      <c r="E79">
        <v>3</v>
      </c>
      <c r="F79" t="s">
        <v>24</v>
      </c>
      <c r="G79" t="s">
        <v>25</v>
      </c>
      <c r="I79" t="s">
        <v>26</v>
      </c>
      <c r="J79">
        <v>1.5</v>
      </c>
      <c r="K79" t="s">
        <v>27</v>
      </c>
      <c r="L79">
        <v>3</v>
      </c>
      <c r="M79" t="s">
        <v>24</v>
      </c>
      <c r="N79" t="s">
        <v>25</v>
      </c>
      <c r="P79" t="s">
        <v>26</v>
      </c>
      <c r="Q79">
        <v>1.5</v>
      </c>
      <c r="R79" t="s">
        <v>112</v>
      </c>
      <c r="S79" t="s">
        <v>112</v>
      </c>
      <c r="T79" t="s">
        <v>112</v>
      </c>
      <c r="U79" s="3">
        <v>38</v>
      </c>
      <c r="V79" s="3">
        <v>17</v>
      </c>
      <c r="W79" s="3">
        <f t="shared" si="2"/>
        <v>21</v>
      </c>
      <c r="X79" s="4">
        <f t="shared" si="3"/>
        <v>55.3</v>
      </c>
    </row>
    <row r="80" spans="1:24" x14ac:dyDescent="0.35">
      <c r="A80">
        <v>79</v>
      </c>
      <c r="B80" t="s">
        <v>67</v>
      </c>
      <c r="C80" t="s">
        <v>91</v>
      </c>
      <c r="D80" t="s">
        <v>23</v>
      </c>
      <c r="E80">
        <v>3</v>
      </c>
      <c r="F80" t="s">
        <v>33</v>
      </c>
      <c r="G80" t="s">
        <v>26</v>
      </c>
      <c r="H80">
        <v>1.3</v>
      </c>
      <c r="I80" t="s">
        <v>32</v>
      </c>
      <c r="J80">
        <v>3.2</v>
      </c>
      <c r="K80" t="s">
        <v>27</v>
      </c>
      <c r="L80">
        <v>3</v>
      </c>
      <c r="M80" t="s">
        <v>33</v>
      </c>
      <c r="N80" t="s">
        <v>26</v>
      </c>
      <c r="O80">
        <v>1.3</v>
      </c>
      <c r="P80" t="s">
        <v>32</v>
      </c>
      <c r="Q80">
        <v>3.2</v>
      </c>
      <c r="R80" t="s">
        <v>112</v>
      </c>
      <c r="S80" t="s">
        <v>112</v>
      </c>
      <c r="T80" t="s">
        <v>112</v>
      </c>
      <c r="U80" s="3">
        <v>21</v>
      </c>
      <c r="V80" s="3">
        <v>13</v>
      </c>
      <c r="W80" s="3">
        <f t="shared" si="2"/>
        <v>8</v>
      </c>
      <c r="X80" s="4">
        <f t="shared" si="3"/>
        <v>38.1</v>
      </c>
    </row>
    <row r="81" spans="1:24" x14ac:dyDescent="0.35">
      <c r="A81">
        <v>80</v>
      </c>
      <c r="B81" t="s">
        <v>69</v>
      </c>
      <c r="C81" t="s">
        <v>91</v>
      </c>
      <c r="D81" t="s">
        <v>23</v>
      </c>
      <c r="E81">
        <v>2</v>
      </c>
      <c r="F81" t="s">
        <v>33</v>
      </c>
      <c r="G81" t="s">
        <v>26</v>
      </c>
      <c r="H81">
        <v>1.6</v>
      </c>
      <c r="I81" t="s">
        <v>32</v>
      </c>
      <c r="J81">
        <v>3.9</v>
      </c>
      <c r="K81" t="s">
        <v>27</v>
      </c>
      <c r="L81">
        <v>3</v>
      </c>
      <c r="M81" t="s">
        <v>33</v>
      </c>
      <c r="N81" t="s">
        <v>26</v>
      </c>
      <c r="O81">
        <v>1.6</v>
      </c>
      <c r="P81" t="s">
        <v>32</v>
      </c>
      <c r="Q81">
        <v>3.9</v>
      </c>
      <c r="R81" t="s">
        <v>112</v>
      </c>
      <c r="S81" t="s">
        <v>112</v>
      </c>
      <c r="T81" t="s">
        <v>112</v>
      </c>
      <c r="U81" s="3">
        <v>26</v>
      </c>
      <c r="V81" s="3">
        <v>15</v>
      </c>
      <c r="W81" s="3">
        <f t="shared" si="2"/>
        <v>11</v>
      </c>
      <c r="X81" s="4">
        <f t="shared" si="3"/>
        <v>42.3</v>
      </c>
    </row>
    <row r="82" spans="1:24" x14ac:dyDescent="0.35">
      <c r="A82">
        <v>81</v>
      </c>
      <c r="B82" t="s">
        <v>21</v>
      </c>
      <c r="C82" t="s">
        <v>113</v>
      </c>
      <c r="D82" t="s">
        <v>23</v>
      </c>
      <c r="E82">
        <v>3</v>
      </c>
      <c r="F82" t="s">
        <v>24</v>
      </c>
      <c r="G82" t="s">
        <v>25</v>
      </c>
      <c r="I82" t="s">
        <v>26</v>
      </c>
      <c r="J82">
        <v>1.2</v>
      </c>
      <c r="K82" t="s">
        <v>27</v>
      </c>
      <c r="L82">
        <v>2</v>
      </c>
      <c r="M82" t="s">
        <v>24</v>
      </c>
      <c r="N82" t="s">
        <v>25</v>
      </c>
      <c r="P82" t="s">
        <v>26</v>
      </c>
      <c r="Q82">
        <v>1.2</v>
      </c>
      <c r="R82" t="s">
        <v>112</v>
      </c>
      <c r="S82" t="s">
        <v>112</v>
      </c>
      <c r="T82" t="s">
        <v>112</v>
      </c>
      <c r="U82" s="3">
        <v>26</v>
      </c>
      <c r="V82" s="3">
        <v>18</v>
      </c>
      <c r="W82" s="3">
        <f t="shared" si="2"/>
        <v>8</v>
      </c>
      <c r="X82" s="4">
        <f t="shared" si="3"/>
        <v>30.8</v>
      </c>
    </row>
    <row r="83" spans="1:24" x14ac:dyDescent="0.35">
      <c r="A83">
        <v>82</v>
      </c>
      <c r="B83" t="s">
        <v>31</v>
      </c>
      <c r="C83" t="s">
        <v>113</v>
      </c>
      <c r="D83" t="s">
        <v>23</v>
      </c>
      <c r="E83">
        <v>3</v>
      </c>
      <c r="F83" t="s">
        <v>24</v>
      </c>
      <c r="G83" t="s">
        <v>25</v>
      </c>
      <c r="I83" t="s">
        <v>26</v>
      </c>
      <c r="J83">
        <v>1.6</v>
      </c>
      <c r="K83" t="s">
        <v>27</v>
      </c>
      <c r="L83">
        <v>3</v>
      </c>
      <c r="M83" t="s">
        <v>33</v>
      </c>
      <c r="N83" t="s">
        <v>25</v>
      </c>
      <c r="P83" t="s">
        <v>26</v>
      </c>
      <c r="Q83">
        <v>1.6</v>
      </c>
      <c r="R83" t="s">
        <v>112</v>
      </c>
      <c r="S83" t="s">
        <v>112</v>
      </c>
      <c r="T83" t="s">
        <v>112</v>
      </c>
      <c r="U83" s="3">
        <v>33</v>
      </c>
      <c r="V83" s="3">
        <v>19</v>
      </c>
      <c r="W83" s="3">
        <f t="shared" si="2"/>
        <v>14</v>
      </c>
      <c r="X83" s="4">
        <f t="shared" si="3"/>
        <v>42.4</v>
      </c>
    </row>
    <row r="84" spans="1:24" x14ac:dyDescent="0.35">
      <c r="A84">
        <v>83</v>
      </c>
      <c r="B84" t="s">
        <v>35</v>
      </c>
      <c r="C84" t="s">
        <v>113</v>
      </c>
      <c r="D84" t="s">
        <v>23</v>
      </c>
      <c r="E84">
        <v>1</v>
      </c>
      <c r="F84" t="s">
        <v>24</v>
      </c>
      <c r="G84" t="s">
        <v>26</v>
      </c>
      <c r="H84">
        <v>2.2000000000000002</v>
      </c>
      <c r="I84" t="s">
        <v>26</v>
      </c>
      <c r="J84">
        <v>1.9</v>
      </c>
      <c r="K84" t="s">
        <v>27</v>
      </c>
      <c r="L84">
        <v>2</v>
      </c>
      <c r="M84" t="s">
        <v>24</v>
      </c>
      <c r="N84" t="s">
        <v>26</v>
      </c>
      <c r="O84">
        <v>2.2000000000000002</v>
      </c>
      <c r="P84" t="s">
        <v>26</v>
      </c>
      <c r="Q84">
        <v>1.9</v>
      </c>
      <c r="R84" t="s">
        <v>112</v>
      </c>
      <c r="S84" t="s">
        <v>112</v>
      </c>
      <c r="T84" t="s">
        <v>112</v>
      </c>
      <c r="U84" s="3">
        <v>30</v>
      </c>
      <c r="V84" s="3">
        <v>15</v>
      </c>
      <c r="W84" s="3">
        <f t="shared" si="2"/>
        <v>15</v>
      </c>
      <c r="X84" s="4">
        <f t="shared" si="3"/>
        <v>50</v>
      </c>
    </row>
    <row r="85" spans="1:24" x14ac:dyDescent="0.35">
      <c r="A85">
        <v>84</v>
      </c>
      <c r="B85" t="s">
        <v>37</v>
      </c>
      <c r="C85" t="s">
        <v>113</v>
      </c>
      <c r="D85" t="s">
        <v>23</v>
      </c>
      <c r="E85">
        <v>3</v>
      </c>
      <c r="F85" t="s">
        <v>24</v>
      </c>
      <c r="G85" t="s">
        <v>32</v>
      </c>
      <c r="H85">
        <v>4.3</v>
      </c>
      <c r="I85" t="s">
        <v>26</v>
      </c>
      <c r="J85">
        <v>0.4</v>
      </c>
      <c r="K85" t="s">
        <v>27</v>
      </c>
      <c r="L85">
        <v>3</v>
      </c>
      <c r="M85" t="s">
        <v>24</v>
      </c>
      <c r="N85" t="s">
        <v>32</v>
      </c>
      <c r="O85">
        <v>4.3</v>
      </c>
      <c r="P85" t="s">
        <v>26</v>
      </c>
      <c r="Q85">
        <v>0.4</v>
      </c>
      <c r="R85" t="s">
        <v>112</v>
      </c>
      <c r="S85" t="s">
        <v>112</v>
      </c>
      <c r="T85" t="s">
        <v>112</v>
      </c>
      <c r="U85" s="3">
        <v>22</v>
      </c>
      <c r="V85" s="3">
        <v>17</v>
      </c>
      <c r="W85" s="3">
        <f t="shared" si="2"/>
        <v>5</v>
      </c>
      <c r="X85" s="4">
        <f t="shared" si="3"/>
        <v>22.7</v>
      </c>
    </row>
    <row r="86" spans="1:24" x14ac:dyDescent="0.35">
      <c r="A86">
        <v>85</v>
      </c>
      <c r="B86" t="s">
        <v>39</v>
      </c>
      <c r="C86" t="s">
        <v>113</v>
      </c>
      <c r="D86" t="s">
        <v>23</v>
      </c>
      <c r="E86">
        <v>2</v>
      </c>
      <c r="F86" t="s">
        <v>24</v>
      </c>
      <c r="G86" t="s">
        <v>26</v>
      </c>
      <c r="H86">
        <v>1.2</v>
      </c>
      <c r="I86" t="s">
        <v>26</v>
      </c>
      <c r="J86">
        <v>1.2</v>
      </c>
      <c r="K86" t="s">
        <v>27</v>
      </c>
      <c r="L86">
        <v>3</v>
      </c>
      <c r="M86" t="s">
        <v>24</v>
      </c>
      <c r="N86" t="s">
        <v>26</v>
      </c>
      <c r="O86">
        <v>1.2</v>
      </c>
      <c r="P86" t="s">
        <v>26</v>
      </c>
      <c r="Q86">
        <v>1.2</v>
      </c>
      <c r="R86" t="s">
        <v>112</v>
      </c>
      <c r="S86" t="s">
        <v>112</v>
      </c>
      <c r="T86" t="s">
        <v>112</v>
      </c>
      <c r="U86" s="3">
        <v>21</v>
      </c>
      <c r="V86" s="3">
        <v>16</v>
      </c>
      <c r="W86" s="3">
        <f t="shared" si="2"/>
        <v>5</v>
      </c>
      <c r="X86" s="4">
        <f t="shared" si="3"/>
        <v>23.8</v>
      </c>
    </row>
    <row r="87" spans="1:24" x14ac:dyDescent="0.35">
      <c r="A87">
        <v>86</v>
      </c>
      <c r="B87" t="s">
        <v>41</v>
      </c>
      <c r="C87" t="s">
        <v>113</v>
      </c>
      <c r="D87" t="s">
        <v>23</v>
      </c>
      <c r="E87">
        <v>1</v>
      </c>
      <c r="F87" t="s">
        <v>24</v>
      </c>
      <c r="G87" t="s">
        <v>32</v>
      </c>
      <c r="H87">
        <v>3.8</v>
      </c>
      <c r="I87" t="s">
        <v>32</v>
      </c>
      <c r="J87">
        <v>4.5</v>
      </c>
      <c r="K87" t="s">
        <v>27</v>
      </c>
      <c r="L87">
        <v>3</v>
      </c>
      <c r="M87" t="s">
        <v>24</v>
      </c>
      <c r="N87" t="s">
        <v>32</v>
      </c>
      <c r="O87">
        <v>3.8</v>
      </c>
      <c r="P87" t="s">
        <v>32</v>
      </c>
      <c r="Q87">
        <v>4.5</v>
      </c>
      <c r="R87" t="s">
        <v>112</v>
      </c>
      <c r="S87" t="s">
        <v>112</v>
      </c>
      <c r="T87" t="s">
        <v>112</v>
      </c>
      <c r="U87" s="3">
        <v>32</v>
      </c>
      <c r="V87" s="3">
        <v>19</v>
      </c>
      <c r="W87" s="3">
        <f t="shared" si="2"/>
        <v>13</v>
      </c>
      <c r="X87" s="4">
        <f t="shared" si="3"/>
        <v>40.6</v>
      </c>
    </row>
    <row r="88" spans="1:24" x14ac:dyDescent="0.35">
      <c r="A88">
        <v>87</v>
      </c>
      <c r="B88" t="s">
        <v>43</v>
      </c>
      <c r="C88" t="s">
        <v>113</v>
      </c>
      <c r="D88" t="s">
        <v>23</v>
      </c>
      <c r="E88">
        <v>1</v>
      </c>
      <c r="F88" t="s">
        <v>33</v>
      </c>
      <c r="G88" t="s">
        <v>25</v>
      </c>
      <c r="I88" t="s">
        <v>26</v>
      </c>
      <c r="J88">
        <v>1.4</v>
      </c>
      <c r="K88" t="s">
        <v>27</v>
      </c>
      <c r="L88">
        <v>1</v>
      </c>
      <c r="M88" t="s">
        <v>24</v>
      </c>
      <c r="N88" t="s">
        <v>25</v>
      </c>
      <c r="P88" t="s">
        <v>26</v>
      </c>
      <c r="Q88">
        <v>1.4</v>
      </c>
      <c r="R88" t="s">
        <v>112</v>
      </c>
      <c r="S88" t="s">
        <v>112</v>
      </c>
      <c r="T88" t="s">
        <v>112</v>
      </c>
      <c r="U88" s="3">
        <v>30</v>
      </c>
      <c r="V88" s="3">
        <v>14</v>
      </c>
      <c r="W88" s="3">
        <f t="shared" si="2"/>
        <v>16</v>
      </c>
      <c r="X88" s="4">
        <f t="shared" si="3"/>
        <v>53.3</v>
      </c>
    </row>
    <row r="89" spans="1:24" x14ac:dyDescent="0.35">
      <c r="A89">
        <v>88</v>
      </c>
      <c r="B89" t="s">
        <v>45</v>
      </c>
      <c r="C89" t="s">
        <v>113</v>
      </c>
      <c r="D89" t="s">
        <v>23</v>
      </c>
      <c r="E89">
        <v>1</v>
      </c>
      <c r="F89" t="s">
        <v>24</v>
      </c>
      <c r="G89" t="s">
        <v>32</v>
      </c>
      <c r="H89">
        <v>4.3</v>
      </c>
      <c r="I89" t="s">
        <v>26</v>
      </c>
      <c r="J89">
        <v>2</v>
      </c>
      <c r="K89" t="s">
        <v>27</v>
      </c>
      <c r="L89">
        <v>3</v>
      </c>
      <c r="M89" t="s">
        <v>33</v>
      </c>
      <c r="N89" t="s">
        <v>32</v>
      </c>
      <c r="O89">
        <v>4.3</v>
      </c>
      <c r="P89" t="s">
        <v>26</v>
      </c>
      <c r="Q89">
        <v>2</v>
      </c>
      <c r="R89" t="s">
        <v>112</v>
      </c>
      <c r="S89" t="s">
        <v>112</v>
      </c>
      <c r="T89" t="s">
        <v>112</v>
      </c>
      <c r="U89" s="3">
        <v>32</v>
      </c>
      <c r="V89" s="3">
        <v>15</v>
      </c>
      <c r="W89" s="3">
        <f t="shared" si="2"/>
        <v>17</v>
      </c>
      <c r="X89" s="4">
        <f t="shared" si="3"/>
        <v>53.1</v>
      </c>
    </row>
    <row r="90" spans="1:24" x14ac:dyDescent="0.35">
      <c r="A90">
        <v>89</v>
      </c>
      <c r="B90" t="s">
        <v>47</v>
      </c>
      <c r="C90" t="s">
        <v>113</v>
      </c>
      <c r="D90" t="s">
        <v>23</v>
      </c>
      <c r="E90">
        <v>1</v>
      </c>
      <c r="F90" t="s">
        <v>24</v>
      </c>
      <c r="G90" t="s">
        <v>25</v>
      </c>
      <c r="I90" t="s">
        <v>26</v>
      </c>
      <c r="J90">
        <v>1.8</v>
      </c>
      <c r="K90" t="s">
        <v>27</v>
      </c>
      <c r="L90">
        <v>2</v>
      </c>
      <c r="M90" t="s">
        <v>33</v>
      </c>
      <c r="N90" t="s">
        <v>25</v>
      </c>
      <c r="P90" t="s">
        <v>26</v>
      </c>
      <c r="Q90">
        <v>1.8</v>
      </c>
      <c r="R90" t="s">
        <v>112</v>
      </c>
      <c r="S90" t="s">
        <v>112</v>
      </c>
      <c r="T90" t="s">
        <v>112</v>
      </c>
      <c r="U90" s="3">
        <v>31</v>
      </c>
      <c r="V90" s="3">
        <v>20</v>
      </c>
      <c r="W90" s="3">
        <f t="shared" si="2"/>
        <v>11</v>
      </c>
      <c r="X90" s="4">
        <f t="shared" si="3"/>
        <v>35.5</v>
      </c>
    </row>
    <row r="91" spans="1:24" x14ac:dyDescent="0.35">
      <c r="A91">
        <v>90</v>
      </c>
      <c r="B91" t="s">
        <v>49</v>
      </c>
      <c r="C91" t="s">
        <v>113</v>
      </c>
      <c r="D91" t="s">
        <v>23</v>
      </c>
      <c r="E91">
        <v>3</v>
      </c>
      <c r="F91" t="s">
        <v>24</v>
      </c>
      <c r="G91" t="s">
        <v>25</v>
      </c>
      <c r="I91" t="s">
        <v>26</v>
      </c>
      <c r="J91">
        <v>1.6</v>
      </c>
      <c r="K91" t="s">
        <v>27</v>
      </c>
      <c r="L91">
        <v>3</v>
      </c>
      <c r="M91" t="s">
        <v>33</v>
      </c>
      <c r="N91" t="s">
        <v>25</v>
      </c>
      <c r="P91" t="s">
        <v>26</v>
      </c>
      <c r="Q91">
        <v>1.6</v>
      </c>
      <c r="R91" t="s">
        <v>112</v>
      </c>
      <c r="S91" t="s">
        <v>112</v>
      </c>
      <c r="T91" t="s">
        <v>112</v>
      </c>
      <c r="U91" s="3">
        <v>37</v>
      </c>
      <c r="V91" s="3">
        <v>22</v>
      </c>
      <c r="W91" s="3">
        <f t="shared" si="2"/>
        <v>15</v>
      </c>
      <c r="X91" s="4">
        <f t="shared" si="3"/>
        <v>40.5</v>
      </c>
    </row>
    <row r="92" spans="1:24" x14ac:dyDescent="0.35">
      <c r="A92">
        <v>91</v>
      </c>
      <c r="B92" t="s">
        <v>51</v>
      </c>
      <c r="C92" t="s">
        <v>113</v>
      </c>
      <c r="D92" t="s">
        <v>23</v>
      </c>
      <c r="E92">
        <v>3</v>
      </c>
      <c r="F92" t="s">
        <v>24</v>
      </c>
      <c r="G92" t="s">
        <v>32</v>
      </c>
      <c r="H92">
        <v>4.2</v>
      </c>
      <c r="I92" t="s">
        <v>26</v>
      </c>
      <c r="J92">
        <v>0.4</v>
      </c>
      <c r="K92" t="s">
        <v>27</v>
      </c>
      <c r="L92">
        <v>1</v>
      </c>
      <c r="M92" t="s">
        <v>24</v>
      </c>
      <c r="N92" t="s">
        <v>32</v>
      </c>
      <c r="O92">
        <v>4.2</v>
      </c>
      <c r="P92" t="s">
        <v>26</v>
      </c>
      <c r="Q92">
        <v>0.4</v>
      </c>
      <c r="R92" t="s">
        <v>112</v>
      </c>
      <c r="S92" t="s">
        <v>112</v>
      </c>
      <c r="T92" t="s">
        <v>112</v>
      </c>
      <c r="U92" s="3">
        <v>38</v>
      </c>
      <c r="V92" s="3">
        <v>17</v>
      </c>
      <c r="W92" s="3">
        <f t="shared" si="2"/>
        <v>21</v>
      </c>
      <c r="X92" s="4">
        <f t="shared" si="3"/>
        <v>55.3</v>
      </c>
    </row>
    <row r="93" spans="1:24" x14ac:dyDescent="0.35">
      <c r="A93">
        <v>92</v>
      </c>
      <c r="B93" t="s">
        <v>53</v>
      </c>
      <c r="C93" t="s">
        <v>113</v>
      </c>
      <c r="D93" t="s">
        <v>23</v>
      </c>
      <c r="E93">
        <v>2</v>
      </c>
      <c r="F93" t="s">
        <v>33</v>
      </c>
      <c r="G93" t="s">
        <v>26</v>
      </c>
      <c r="H93">
        <v>1.2</v>
      </c>
      <c r="I93" t="s">
        <v>25</v>
      </c>
      <c r="K93" t="s">
        <v>27</v>
      </c>
      <c r="L93">
        <v>1</v>
      </c>
      <c r="M93" t="s">
        <v>24</v>
      </c>
      <c r="N93" t="s">
        <v>26</v>
      </c>
      <c r="O93">
        <v>1.2</v>
      </c>
      <c r="P93" t="s">
        <v>25</v>
      </c>
      <c r="R93" t="s">
        <v>112</v>
      </c>
      <c r="S93" t="s">
        <v>112</v>
      </c>
      <c r="T93" t="s">
        <v>112</v>
      </c>
      <c r="U93" s="3">
        <v>24</v>
      </c>
      <c r="V93" s="3">
        <v>16</v>
      </c>
      <c r="W93" s="3">
        <f t="shared" si="2"/>
        <v>8</v>
      </c>
      <c r="X93" s="4">
        <f t="shared" si="3"/>
        <v>33.299999999999997</v>
      </c>
    </row>
    <row r="94" spans="1:24" x14ac:dyDescent="0.35">
      <c r="A94">
        <v>93</v>
      </c>
      <c r="B94" t="s">
        <v>55</v>
      </c>
      <c r="C94" t="s">
        <v>113</v>
      </c>
      <c r="D94" t="s">
        <v>23</v>
      </c>
      <c r="E94">
        <v>3</v>
      </c>
      <c r="F94" t="s">
        <v>24</v>
      </c>
      <c r="G94" t="s">
        <v>26</v>
      </c>
      <c r="H94">
        <v>2.4</v>
      </c>
      <c r="I94" t="s">
        <v>26</v>
      </c>
      <c r="J94">
        <v>1.8</v>
      </c>
      <c r="K94" t="s">
        <v>27</v>
      </c>
      <c r="L94">
        <v>2</v>
      </c>
      <c r="M94" t="s">
        <v>24</v>
      </c>
      <c r="N94" t="s">
        <v>26</v>
      </c>
      <c r="O94">
        <v>2.4</v>
      </c>
      <c r="P94" t="s">
        <v>26</v>
      </c>
      <c r="Q94">
        <v>1.8</v>
      </c>
      <c r="R94" t="s">
        <v>112</v>
      </c>
      <c r="S94" t="s">
        <v>112</v>
      </c>
      <c r="T94" t="s">
        <v>112</v>
      </c>
      <c r="U94" s="3">
        <v>38</v>
      </c>
      <c r="V94" s="3">
        <v>17</v>
      </c>
      <c r="W94" s="3">
        <f t="shared" si="2"/>
        <v>21</v>
      </c>
      <c r="X94" s="4">
        <f t="shared" si="3"/>
        <v>55.3</v>
      </c>
    </row>
    <row r="95" spans="1:24" x14ac:dyDescent="0.35">
      <c r="A95">
        <v>94</v>
      </c>
      <c r="B95" t="s">
        <v>57</v>
      </c>
      <c r="C95" t="s">
        <v>113</v>
      </c>
      <c r="D95" t="s">
        <v>23</v>
      </c>
      <c r="E95">
        <v>2</v>
      </c>
      <c r="F95" t="s">
        <v>33</v>
      </c>
      <c r="G95" t="s">
        <v>32</v>
      </c>
      <c r="H95">
        <v>4</v>
      </c>
      <c r="I95" t="s">
        <v>26</v>
      </c>
      <c r="J95">
        <v>0.6</v>
      </c>
      <c r="K95" t="s">
        <v>27</v>
      </c>
      <c r="L95">
        <v>1</v>
      </c>
      <c r="M95" t="s">
        <v>24</v>
      </c>
      <c r="N95" t="s">
        <v>32</v>
      </c>
      <c r="O95">
        <v>4</v>
      </c>
      <c r="P95" t="s">
        <v>26</v>
      </c>
      <c r="Q95">
        <v>0.6</v>
      </c>
      <c r="R95" t="s">
        <v>112</v>
      </c>
      <c r="S95" t="s">
        <v>112</v>
      </c>
      <c r="T95" t="s">
        <v>112</v>
      </c>
      <c r="U95" s="3">
        <v>35</v>
      </c>
      <c r="V95" s="3">
        <v>18</v>
      </c>
      <c r="W95" s="3">
        <f t="shared" si="2"/>
        <v>17</v>
      </c>
      <c r="X95" s="4">
        <f t="shared" si="3"/>
        <v>48.6</v>
      </c>
    </row>
    <row r="96" spans="1:24" x14ac:dyDescent="0.35">
      <c r="A96">
        <v>95</v>
      </c>
      <c r="B96" t="s">
        <v>59</v>
      </c>
      <c r="C96" t="s">
        <v>113</v>
      </c>
      <c r="D96" t="s">
        <v>23</v>
      </c>
      <c r="E96">
        <v>3</v>
      </c>
      <c r="F96" t="s">
        <v>24</v>
      </c>
      <c r="G96" t="s">
        <v>25</v>
      </c>
      <c r="I96" t="s">
        <v>25</v>
      </c>
      <c r="K96" t="s">
        <v>27</v>
      </c>
      <c r="L96">
        <v>1</v>
      </c>
      <c r="M96" t="s">
        <v>33</v>
      </c>
      <c r="N96" t="s">
        <v>25</v>
      </c>
      <c r="P96" t="s">
        <v>25</v>
      </c>
      <c r="R96" t="s">
        <v>112</v>
      </c>
      <c r="S96" t="s">
        <v>112</v>
      </c>
      <c r="T96" t="s">
        <v>112</v>
      </c>
      <c r="U96" s="3">
        <v>33</v>
      </c>
      <c r="V96" s="3">
        <v>14</v>
      </c>
      <c r="W96" s="3">
        <f t="shared" si="2"/>
        <v>19</v>
      </c>
      <c r="X96" s="4">
        <f t="shared" si="3"/>
        <v>57.6</v>
      </c>
    </row>
    <row r="97" spans="1:24" x14ac:dyDescent="0.35">
      <c r="A97">
        <v>96</v>
      </c>
      <c r="B97" t="s">
        <v>61</v>
      </c>
      <c r="C97" t="s">
        <v>113</v>
      </c>
      <c r="D97" t="s">
        <v>23</v>
      </c>
      <c r="E97">
        <v>3</v>
      </c>
      <c r="F97" t="s">
        <v>33</v>
      </c>
      <c r="G97" t="s">
        <v>25</v>
      </c>
      <c r="I97" t="s">
        <v>25</v>
      </c>
      <c r="K97" t="s">
        <v>27</v>
      </c>
      <c r="L97">
        <v>2</v>
      </c>
      <c r="M97" t="s">
        <v>24</v>
      </c>
      <c r="N97" t="s">
        <v>25</v>
      </c>
      <c r="P97" t="s">
        <v>25</v>
      </c>
      <c r="R97" t="s">
        <v>112</v>
      </c>
      <c r="S97" t="s">
        <v>112</v>
      </c>
      <c r="T97" t="s">
        <v>112</v>
      </c>
      <c r="U97" s="3">
        <v>33</v>
      </c>
      <c r="V97" s="3">
        <v>16</v>
      </c>
      <c r="W97" s="3">
        <f t="shared" si="2"/>
        <v>17</v>
      </c>
      <c r="X97" s="4">
        <f t="shared" si="3"/>
        <v>51.5</v>
      </c>
    </row>
    <row r="98" spans="1:24" x14ac:dyDescent="0.35">
      <c r="A98">
        <v>97</v>
      </c>
      <c r="B98" t="s">
        <v>63</v>
      </c>
      <c r="C98" t="s">
        <v>113</v>
      </c>
      <c r="D98" t="s">
        <v>23</v>
      </c>
      <c r="E98">
        <v>1</v>
      </c>
      <c r="F98" t="s">
        <v>33</v>
      </c>
      <c r="G98" t="s">
        <v>26</v>
      </c>
      <c r="H98">
        <v>2.2999999999999998</v>
      </c>
      <c r="I98" t="s">
        <v>26</v>
      </c>
      <c r="J98">
        <v>2.1</v>
      </c>
      <c r="K98" t="s">
        <v>27</v>
      </c>
      <c r="L98">
        <v>2</v>
      </c>
      <c r="M98" t="s">
        <v>24</v>
      </c>
      <c r="N98" t="s">
        <v>26</v>
      </c>
      <c r="O98">
        <v>2.2999999999999998</v>
      </c>
      <c r="P98" t="s">
        <v>26</v>
      </c>
      <c r="Q98">
        <v>2.1</v>
      </c>
      <c r="R98" t="s">
        <v>112</v>
      </c>
      <c r="S98" t="s">
        <v>112</v>
      </c>
      <c r="T98" t="s">
        <v>112</v>
      </c>
      <c r="U98" s="3">
        <v>31</v>
      </c>
      <c r="V98" s="3">
        <v>16</v>
      </c>
      <c r="W98" s="3">
        <f t="shared" si="2"/>
        <v>15</v>
      </c>
      <c r="X98" s="4">
        <f t="shared" si="3"/>
        <v>48.4</v>
      </c>
    </row>
    <row r="99" spans="1:24" x14ac:dyDescent="0.35">
      <c r="A99">
        <v>98</v>
      </c>
      <c r="B99" t="s">
        <v>65</v>
      </c>
      <c r="C99" t="s">
        <v>113</v>
      </c>
      <c r="D99" t="s">
        <v>23</v>
      </c>
      <c r="E99">
        <v>3</v>
      </c>
      <c r="F99" t="s">
        <v>24</v>
      </c>
      <c r="G99" t="s">
        <v>25</v>
      </c>
      <c r="I99" t="s">
        <v>26</v>
      </c>
      <c r="J99">
        <v>1.4</v>
      </c>
      <c r="K99" t="s">
        <v>27</v>
      </c>
      <c r="L99">
        <v>2</v>
      </c>
      <c r="M99" t="s">
        <v>33</v>
      </c>
      <c r="N99" t="s">
        <v>25</v>
      </c>
      <c r="P99" t="s">
        <v>26</v>
      </c>
      <c r="Q99">
        <v>1.4</v>
      </c>
      <c r="R99" t="s">
        <v>112</v>
      </c>
      <c r="S99" t="s">
        <v>112</v>
      </c>
      <c r="T99" t="s">
        <v>112</v>
      </c>
      <c r="U99" s="3">
        <v>38</v>
      </c>
      <c r="V99" s="3">
        <v>22</v>
      </c>
      <c r="W99" s="3">
        <f t="shared" si="2"/>
        <v>16</v>
      </c>
      <c r="X99" s="4">
        <f t="shared" si="3"/>
        <v>42.1</v>
      </c>
    </row>
    <row r="100" spans="1:24" x14ac:dyDescent="0.35">
      <c r="A100">
        <v>99</v>
      </c>
      <c r="B100" t="s">
        <v>67</v>
      </c>
      <c r="C100" t="s">
        <v>113</v>
      </c>
      <c r="D100" t="s">
        <v>23</v>
      </c>
      <c r="E100">
        <v>3</v>
      </c>
      <c r="F100" t="s">
        <v>24</v>
      </c>
      <c r="G100" t="s">
        <v>25</v>
      </c>
      <c r="I100" t="s">
        <v>32</v>
      </c>
      <c r="J100">
        <v>3.4</v>
      </c>
      <c r="K100" t="s">
        <v>27</v>
      </c>
      <c r="L100">
        <v>3</v>
      </c>
      <c r="M100" t="s">
        <v>24</v>
      </c>
      <c r="N100" t="s">
        <v>25</v>
      </c>
      <c r="P100" t="s">
        <v>32</v>
      </c>
      <c r="Q100">
        <v>3.4</v>
      </c>
      <c r="R100" t="s">
        <v>112</v>
      </c>
      <c r="S100" t="s">
        <v>112</v>
      </c>
      <c r="T100" t="s">
        <v>112</v>
      </c>
      <c r="U100" s="3">
        <v>25</v>
      </c>
      <c r="V100" s="3">
        <v>16</v>
      </c>
      <c r="W100" s="3">
        <f t="shared" si="2"/>
        <v>9</v>
      </c>
      <c r="X100" s="4">
        <f t="shared" si="3"/>
        <v>36</v>
      </c>
    </row>
    <row r="101" spans="1:24" x14ac:dyDescent="0.35">
      <c r="A101">
        <v>100</v>
      </c>
      <c r="B101" t="s">
        <v>69</v>
      </c>
      <c r="C101" t="s">
        <v>113</v>
      </c>
      <c r="D101" t="s">
        <v>23</v>
      </c>
      <c r="E101">
        <v>2</v>
      </c>
      <c r="F101" t="s">
        <v>24</v>
      </c>
      <c r="G101" t="s">
        <v>26</v>
      </c>
      <c r="H101">
        <v>1.8</v>
      </c>
      <c r="I101" t="s">
        <v>26</v>
      </c>
      <c r="J101">
        <v>1.8</v>
      </c>
      <c r="K101" t="s">
        <v>27</v>
      </c>
      <c r="L101">
        <v>2</v>
      </c>
      <c r="M101" t="s">
        <v>24</v>
      </c>
      <c r="N101" t="s">
        <v>26</v>
      </c>
      <c r="O101">
        <v>1.8</v>
      </c>
      <c r="P101" t="s">
        <v>26</v>
      </c>
      <c r="Q101">
        <v>1.8</v>
      </c>
      <c r="R101" t="s">
        <v>112</v>
      </c>
      <c r="S101" t="s">
        <v>112</v>
      </c>
      <c r="T101" t="s">
        <v>112</v>
      </c>
      <c r="U101" s="3">
        <v>32</v>
      </c>
      <c r="V101" s="3">
        <v>15</v>
      </c>
      <c r="W101" s="3">
        <f t="shared" si="2"/>
        <v>17</v>
      </c>
      <c r="X101" s="4">
        <f t="shared" si="3"/>
        <v>53.1</v>
      </c>
    </row>
    <row r="102" spans="1:24" x14ac:dyDescent="0.35">
      <c r="A102">
        <v>101</v>
      </c>
      <c r="B102" t="s">
        <v>21</v>
      </c>
      <c r="C102" t="s">
        <v>113</v>
      </c>
      <c r="D102" t="s">
        <v>23</v>
      </c>
      <c r="E102">
        <v>3</v>
      </c>
      <c r="F102" t="s">
        <v>24</v>
      </c>
      <c r="G102" t="s">
        <v>26</v>
      </c>
      <c r="H102">
        <v>1.1000000000000001</v>
      </c>
      <c r="I102" t="s">
        <v>26</v>
      </c>
      <c r="J102">
        <v>1.8</v>
      </c>
      <c r="K102" t="s">
        <v>27</v>
      </c>
      <c r="L102">
        <v>3</v>
      </c>
      <c r="M102" t="s">
        <v>24</v>
      </c>
      <c r="N102" t="s">
        <v>26</v>
      </c>
      <c r="O102">
        <v>1.1000000000000001</v>
      </c>
      <c r="P102" t="s">
        <v>26</v>
      </c>
      <c r="Q102">
        <v>1.8</v>
      </c>
      <c r="R102" t="s">
        <v>112</v>
      </c>
      <c r="S102" t="s">
        <v>112</v>
      </c>
      <c r="T102" t="s">
        <v>112</v>
      </c>
      <c r="U102" s="3">
        <v>36</v>
      </c>
      <c r="V102" s="3">
        <v>18</v>
      </c>
      <c r="W102" s="3">
        <f t="shared" si="2"/>
        <v>18</v>
      </c>
      <c r="X102" s="4">
        <f t="shared" si="3"/>
        <v>50</v>
      </c>
    </row>
    <row r="103" spans="1:24" x14ac:dyDescent="0.35">
      <c r="A103">
        <v>102</v>
      </c>
      <c r="B103" t="s">
        <v>31</v>
      </c>
      <c r="C103" t="s">
        <v>113</v>
      </c>
      <c r="D103" t="s">
        <v>23</v>
      </c>
      <c r="E103">
        <v>2</v>
      </c>
      <c r="F103" t="s">
        <v>24</v>
      </c>
      <c r="G103" t="s">
        <v>25</v>
      </c>
      <c r="I103" t="s">
        <v>26</v>
      </c>
      <c r="J103">
        <v>1.6</v>
      </c>
      <c r="K103" t="s">
        <v>27</v>
      </c>
      <c r="L103">
        <v>3</v>
      </c>
      <c r="M103" t="s">
        <v>33</v>
      </c>
      <c r="N103" t="s">
        <v>25</v>
      </c>
      <c r="P103" t="s">
        <v>26</v>
      </c>
      <c r="Q103">
        <v>1.6</v>
      </c>
      <c r="R103" t="s">
        <v>112</v>
      </c>
      <c r="S103" t="s">
        <v>112</v>
      </c>
      <c r="T103" t="s">
        <v>112</v>
      </c>
      <c r="U103" s="3">
        <v>23</v>
      </c>
      <c r="V103" s="3">
        <v>15</v>
      </c>
      <c r="W103" s="3">
        <f t="shared" si="2"/>
        <v>8</v>
      </c>
      <c r="X103" s="4">
        <f t="shared" si="3"/>
        <v>34.799999999999997</v>
      </c>
    </row>
    <row r="104" spans="1:24" x14ac:dyDescent="0.35">
      <c r="A104">
        <v>103</v>
      </c>
      <c r="B104" t="s">
        <v>35</v>
      </c>
      <c r="C104" t="s">
        <v>113</v>
      </c>
      <c r="D104" t="s">
        <v>23</v>
      </c>
      <c r="E104">
        <v>3</v>
      </c>
      <c r="F104" t="s">
        <v>24</v>
      </c>
      <c r="G104" t="s">
        <v>25</v>
      </c>
      <c r="I104" t="s">
        <v>25</v>
      </c>
      <c r="K104" t="s">
        <v>27</v>
      </c>
      <c r="L104">
        <v>3</v>
      </c>
      <c r="M104" t="s">
        <v>33</v>
      </c>
      <c r="N104" t="s">
        <v>25</v>
      </c>
      <c r="P104" t="s">
        <v>25</v>
      </c>
      <c r="R104" t="s">
        <v>112</v>
      </c>
      <c r="S104" t="s">
        <v>112</v>
      </c>
      <c r="T104" t="s">
        <v>112</v>
      </c>
      <c r="U104" s="3">
        <v>32</v>
      </c>
      <c r="V104" s="3">
        <v>18</v>
      </c>
      <c r="W104" s="3">
        <f t="shared" si="2"/>
        <v>14</v>
      </c>
      <c r="X104" s="4">
        <f t="shared" si="3"/>
        <v>43.8</v>
      </c>
    </row>
    <row r="105" spans="1:24" x14ac:dyDescent="0.35">
      <c r="A105">
        <v>104</v>
      </c>
      <c r="B105" t="s">
        <v>37</v>
      </c>
      <c r="C105" t="s">
        <v>113</v>
      </c>
      <c r="D105" t="s">
        <v>23</v>
      </c>
      <c r="E105">
        <v>2</v>
      </c>
      <c r="F105" t="s">
        <v>33</v>
      </c>
      <c r="G105" t="s">
        <v>25</v>
      </c>
      <c r="I105" t="s">
        <v>26</v>
      </c>
      <c r="J105">
        <v>2.2999999999999998</v>
      </c>
      <c r="K105" t="s">
        <v>27</v>
      </c>
      <c r="L105">
        <v>3</v>
      </c>
      <c r="M105" t="s">
        <v>33</v>
      </c>
      <c r="N105" t="s">
        <v>25</v>
      </c>
      <c r="P105" t="s">
        <v>26</v>
      </c>
      <c r="Q105">
        <v>2.2999999999999998</v>
      </c>
      <c r="R105" t="s">
        <v>112</v>
      </c>
      <c r="S105" t="s">
        <v>112</v>
      </c>
      <c r="T105" t="s">
        <v>112</v>
      </c>
      <c r="U105" s="3">
        <v>28</v>
      </c>
      <c r="V105" s="3">
        <v>17</v>
      </c>
      <c r="W105" s="3">
        <f t="shared" si="2"/>
        <v>11</v>
      </c>
      <c r="X105" s="4">
        <f t="shared" si="3"/>
        <v>39.299999999999997</v>
      </c>
    </row>
    <row r="106" spans="1:24" x14ac:dyDescent="0.35">
      <c r="A106">
        <v>105</v>
      </c>
      <c r="B106" t="s">
        <v>39</v>
      </c>
      <c r="C106" t="s">
        <v>113</v>
      </c>
      <c r="D106" t="s">
        <v>23</v>
      </c>
      <c r="E106">
        <v>3</v>
      </c>
      <c r="F106" t="s">
        <v>33</v>
      </c>
      <c r="G106" t="s">
        <v>32</v>
      </c>
      <c r="H106">
        <v>3.3</v>
      </c>
      <c r="I106" t="s">
        <v>32</v>
      </c>
      <c r="J106">
        <v>3.8</v>
      </c>
      <c r="K106" t="s">
        <v>27</v>
      </c>
      <c r="L106">
        <v>1</v>
      </c>
      <c r="M106" t="s">
        <v>33</v>
      </c>
      <c r="N106" t="s">
        <v>32</v>
      </c>
      <c r="O106">
        <v>3.3</v>
      </c>
      <c r="P106" t="s">
        <v>32</v>
      </c>
      <c r="Q106">
        <v>3.8</v>
      </c>
      <c r="R106" t="s">
        <v>112</v>
      </c>
      <c r="S106" t="s">
        <v>112</v>
      </c>
      <c r="T106" t="s">
        <v>112</v>
      </c>
      <c r="U106" s="3">
        <v>35</v>
      </c>
      <c r="V106" s="3">
        <v>18</v>
      </c>
      <c r="W106" s="3">
        <f t="shared" si="2"/>
        <v>17</v>
      </c>
      <c r="X106" s="4">
        <f t="shared" si="3"/>
        <v>48.6</v>
      </c>
    </row>
    <row r="107" spans="1:24" x14ac:dyDescent="0.35">
      <c r="A107">
        <v>106</v>
      </c>
      <c r="B107" t="s">
        <v>41</v>
      </c>
      <c r="C107" t="s">
        <v>113</v>
      </c>
      <c r="D107" t="s">
        <v>23</v>
      </c>
      <c r="E107">
        <v>2</v>
      </c>
      <c r="F107" t="s">
        <v>33</v>
      </c>
      <c r="G107" t="s">
        <v>25</v>
      </c>
      <c r="I107" t="s">
        <v>26</v>
      </c>
      <c r="J107">
        <v>1.1000000000000001</v>
      </c>
      <c r="K107" t="s">
        <v>27</v>
      </c>
      <c r="L107">
        <v>2</v>
      </c>
      <c r="M107" t="s">
        <v>24</v>
      </c>
      <c r="N107" t="s">
        <v>25</v>
      </c>
      <c r="P107" t="s">
        <v>26</v>
      </c>
      <c r="Q107">
        <v>1.1000000000000001</v>
      </c>
      <c r="R107" t="s">
        <v>112</v>
      </c>
      <c r="S107" t="s">
        <v>112</v>
      </c>
      <c r="T107" t="s">
        <v>112</v>
      </c>
      <c r="U107" s="3">
        <v>22</v>
      </c>
      <c r="V107" s="3">
        <v>14</v>
      </c>
      <c r="W107" s="3">
        <f t="shared" si="2"/>
        <v>8</v>
      </c>
      <c r="X107" s="4">
        <f t="shared" si="3"/>
        <v>36.4</v>
      </c>
    </row>
    <row r="108" spans="1:24" x14ac:dyDescent="0.35">
      <c r="A108">
        <v>107</v>
      </c>
      <c r="B108" t="s">
        <v>43</v>
      </c>
      <c r="C108" t="s">
        <v>113</v>
      </c>
      <c r="D108" t="s">
        <v>23</v>
      </c>
      <c r="E108">
        <v>3</v>
      </c>
      <c r="F108" t="s">
        <v>24</v>
      </c>
      <c r="G108" t="s">
        <v>26</v>
      </c>
      <c r="H108">
        <v>1.2</v>
      </c>
      <c r="I108" t="s">
        <v>26</v>
      </c>
      <c r="J108">
        <v>1.7</v>
      </c>
      <c r="K108" t="s">
        <v>27</v>
      </c>
      <c r="L108">
        <v>2</v>
      </c>
      <c r="M108" t="s">
        <v>33</v>
      </c>
      <c r="N108" t="s">
        <v>26</v>
      </c>
      <c r="O108">
        <v>1.2</v>
      </c>
      <c r="P108" t="s">
        <v>26</v>
      </c>
      <c r="Q108">
        <v>1.7</v>
      </c>
      <c r="R108" t="s">
        <v>112</v>
      </c>
      <c r="S108" t="s">
        <v>112</v>
      </c>
      <c r="T108" t="s">
        <v>112</v>
      </c>
      <c r="U108" s="3">
        <v>32</v>
      </c>
      <c r="V108" s="3">
        <v>18</v>
      </c>
      <c r="W108" s="3">
        <f t="shared" si="2"/>
        <v>14</v>
      </c>
      <c r="X108" s="4">
        <f t="shared" si="3"/>
        <v>43.8</v>
      </c>
    </row>
    <row r="109" spans="1:24" x14ac:dyDescent="0.35">
      <c r="A109">
        <v>108</v>
      </c>
      <c r="B109" t="s">
        <v>45</v>
      </c>
      <c r="C109" t="s">
        <v>113</v>
      </c>
      <c r="D109" t="s">
        <v>23</v>
      </c>
      <c r="E109">
        <v>3</v>
      </c>
      <c r="F109" t="s">
        <v>24</v>
      </c>
      <c r="G109" t="s">
        <v>26</v>
      </c>
      <c r="H109">
        <v>0.9</v>
      </c>
      <c r="I109" t="s">
        <v>32</v>
      </c>
      <c r="J109">
        <v>4.0999999999999996</v>
      </c>
      <c r="K109" t="s">
        <v>27</v>
      </c>
      <c r="L109">
        <v>2</v>
      </c>
      <c r="M109" t="s">
        <v>24</v>
      </c>
      <c r="N109" t="s">
        <v>26</v>
      </c>
      <c r="O109">
        <v>0.9</v>
      </c>
      <c r="P109" t="s">
        <v>32</v>
      </c>
      <c r="Q109">
        <v>4.0999999999999996</v>
      </c>
      <c r="R109" t="s">
        <v>112</v>
      </c>
      <c r="S109" t="s">
        <v>112</v>
      </c>
      <c r="T109" t="s">
        <v>112</v>
      </c>
      <c r="U109" s="3">
        <v>36</v>
      </c>
      <c r="V109" s="3">
        <v>22</v>
      </c>
      <c r="W109" s="3">
        <f t="shared" si="2"/>
        <v>14</v>
      </c>
      <c r="X109" s="4">
        <f t="shared" si="3"/>
        <v>38.9</v>
      </c>
    </row>
    <row r="110" spans="1:24" x14ac:dyDescent="0.35">
      <c r="A110">
        <v>109</v>
      </c>
      <c r="B110" t="s">
        <v>47</v>
      </c>
      <c r="C110" t="s">
        <v>113</v>
      </c>
      <c r="D110" t="s">
        <v>23</v>
      </c>
      <c r="E110">
        <v>2</v>
      </c>
      <c r="F110" t="s">
        <v>24</v>
      </c>
      <c r="G110" t="s">
        <v>25</v>
      </c>
      <c r="I110" t="s">
        <v>25</v>
      </c>
      <c r="K110" t="s">
        <v>27</v>
      </c>
      <c r="L110">
        <v>3</v>
      </c>
      <c r="M110" t="s">
        <v>24</v>
      </c>
      <c r="N110" t="s">
        <v>25</v>
      </c>
      <c r="P110" t="s">
        <v>25</v>
      </c>
      <c r="R110" t="s">
        <v>112</v>
      </c>
      <c r="S110" t="s">
        <v>112</v>
      </c>
      <c r="T110" t="s">
        <v>112</v>
      </c>
      <c r="U110" s="3">
        <v>32</v>
      </c>
      <c r="V110" s="3">
        <v>18</v>
      </c>
      <c r="W110" s="3">
        <f t="shared" si="2"/>
        <v>14</v>
      </c>
      <c r="X110" s="4">
        <f t="shared" si="3"/>
        <v>43.8</v>
      </c>
    </row>
    <row r="111" spans="1:24" x14ac:dyDescent="0.35">
      <c r="A111">
        <v>110</v>
      </c>
      <c r="B111" t="s">
        <v>49</v>
      </c>
      <c r="C111" t="s">
        <v>113</v>
      </c>
      <c r="D111" t="s">
        <v>23</v>
      </c>
      <c r="E111">
        <v>3</v>
      </c>
      <c r="F111" t="s">
        <v>33</v>
      </c>
      <c r="G111" t="s">
        <v>25</v>
      </c>
      <c r="I111" t="s">
        <v>26</v>
      </c>
      <c r="J111">
        <v>0.9</v>
      </c>
      <c r="K111" t="s">
        <v>27</v>
      </c>
      <c r="L111">
        <v>2</v>
      </c>
      <c r="M111" t="s">
        <v>24</v>
      </c>
      <c r="N111" t="s">
        <v>25</v>
      </c>
      <c r="P111" t="s">
        <v>26</v>
      </c>
      <c r="Q111">
        <v>0.9</v>
      </c>
      <c r="R111" t="s">
        <v>112</v>
      </c>
      <c r="S111" t="s">
        <v>112</v>
      </c>
      <c r="T111" t="s">
        <v>112</v>
      </c>
      <c r="U111" s="3">
        <v>27</v>
      </c>
      <c r="V111" s="3">
        <v>19</v>
      </c>
      <c r="W111" s="3">
        <f t="shared" si="2"/>
        <v>8</v>
      </c>
      <c r="X111" s="4">
        <f t="shared" si="3"/>
        <v>29.6</v>
      </c>
    </row>
    <row r="112" spans="1:24" x14ac:dyDescent="0.35">
      <c r="A112">
        <v>111</v>
      </c>
      <c r="B112" t="s">
        <v>51</v>
      </c>
      <c r="C112" t="s">
        <v>113</v>
      </c>
      <c r="D112" t="s">
        <v>23</v>
      </c>
      <c r="E112">
        <v>3</v>
      </c>
      <c r="F112" t="s">
        <v>33</v>
      </c>
      <c r="G112" t="s">
        <v>26</v>
      </c>
      <c r="H112">
        <v>2.2999999999999998</v>
      </c>
      <c r="I112" t="s">
        <v>32</v>
      </c>
      <c r="J112">
        <v>3.5</v>
      </c>
      <c r="K112" t="s">
        <v>27</v>
      </c>
      <c r="L112">
        <v>2</v>
      </c>
      <c r="M112" t="s">
        <v>33</v>
      </c>
      <c r="N112" t="s">
        <v>26</v>
      </c>
      <c r="O112">
        <v>2.2999999999999998</v>
      </c>
      <c r="P112" t="s">
        <v>32</v>
      </c>
      <c r="Q112">
        <v>3.5</v>
      </c>
      <c r="R112" t="s">
        <v>112</v>
      </c>
      <c r="S112" t="s">
        <v>112</v>
      </c>
      <c r="T112" t="s">
        <v>112</v>
      </c>
      <c r="U112" s="3">
        <v>33</v>
      </c>
      <c r="V112" s="3">
        <v>14</v>
      </c>
      <c r="W112" s="3">
        <f t="shared" si="2"/>
        <v>19</v>
      </c>
      <c r="X112" s="4">
        <f t="shared" si="3"/>
        <v>57.6</v>
      </c>
    </row>
    <row r="113" spans="1:24" x14ac:dyDescent="0.35">
      <c r="A113">
        <v>112</v>
      </c>
      <c r="B113" t="s">
        <v>53</v>
      </c>
      <c r="C113" t="s">
        <v>113</v>
      </c>
      <c r="D113" t="s">
        <v>23</v>
      </c>
      <c r="E113">
        <v>3</v>
      </c>
      <c r="F113" t="s">
        <v>24</v>
      </c>
      <c r="G113" t="s">
        <v>26</v>
      </c>
      <c r="H113">
        <v>2.2000000000000002</v>
      </c>
      <c r="I113" t="s">
        <v>32</v>
      </c>
      <c r="J113">
        <v>4.2</v>
      </c>
      <c r="K113" t="s">
        <v>27</v>
      </c>
      <c r="L113">
        <v>3</v>
      </c>
      <c r="M113" t="s">
        <v>33</v>
      </c>
      <c r="N113" t="s">
        <v>26</v>
      </c>
      <c r="O113">
        <v>2.2000000000000002</v>
      </c>
      <c r="P113" t="s">
        <v>32</v>
      </c>
      <c r="Q113">
        <v>4.2</v>
      </c>
      <c r="R113" t="s">
        <v>112</v>
      </c>
      <c r="S113" t="s">
        <v>112</v>
      </c>
      <c r="T113" t="s">
        <v>112</v>
      </c>
      <c r="U113" s="3">
        <v>27</v>
      </c>
      <c r="V113" s="3">
        <v>14</v>
      </c>
      <c r="W113" s="3">
        <f t="shared" si="2"/>
        <v>13</v>
      </c>
      <c r="X113" s="4">
        <f t="shared" si="3"/>
        <v>48.1</v>
      </c>
    </row>
    <row r="114" spans="1:24" x14ac:dyDescent="0.35">
      <c r="A114">
        <v>113</v>
      </c>
      <c r="B114" t="s">
        <v>55</v>
      </c>
      <c r="C114" t="s">
        <v>113</v>
      </c>
      <c r="D114" t="s">
        <v>23</v>
      </c>
      <c r="E114">
        <v>1</v>
      </c>
      <c r="F114" t="s">
        <v>33</v>
      </c>
      <c r="G114" t="s">
        <v>32</v>
      </c>
      <c r="H114">
        <v>3.8</v>
      </c>
      <c r="I114" t="s">
        <v>26</v>
      </c>
      <c r="J114">
        <v>2.1</v>
      </c>
      <c r="K114" t="s">
        <v>27</v>
      </c>
      <c r="L114">
        <v>1</v>
      </c>
      <c r="M114" t="s">
        <v>33</v>
      </c>
      <c r="N114" t="s">
        <v>32</v>
      </c>
      <c r="O114">
        <v>3.8</v>
      </c>
      <c r="P114" t="s">
        <v>26</v>
      </c>
      <c r="Q114">
        <v>2.1</v>
      </c>
      <c r="R114" t="s">
        <v>112</v>
      </c>
      <c r="S114" t="s">
        <v>112</v>
      </c>
      <c r="T114" t="s">
        <v>112</v>
      </c>
      <c r="U114" s="3">
        <v>33</v>
      </c>
      <c r="V114" s="3">
        <v>20</v>
      </c>
      <c r="W114" s="3">
        <f t="shared" si="2"/>
        <v>13</v>
      </c>
      <c r="X114" s="4">
        <f t="shared" si="3"/>
        <v>39.4</v>
      </c>
    </row>
    <row r="115" spans="1:24" x14ac:dyDescent="0.35">
      <c r="A115">
        <v>114</v>
      </c>
      <c r="B115" t="s">
        <v>57</v>
      </c>
      <c r="C115" t="s">
        <v>113</v>
      </c>
      <c r="D115" t="s">
        <v>23</v>
      </c>
      <c r="E115">
        <v>2</v>
      </c>
      <c r="F115" t="s">
        <v>33</v>
      </c>
      <c r="G115" t="s">
        <v>25</v>
      </c>
      <c r="I115" t="s">
        <v>26</v>
      </c>
      <c r="J115">
        <v>1.2</v>
      </c>
      <c r="K115" t="s">
        <v>27</v>
      </c>
      <c r="L115">
        <v>3</v>
      </c>
      <c r="M115" t="s">
        <v>33</v>
      </c>
      <c r="N115" t="s">
        <v>25</v>
      </c>
      <c r="P115" t="s">
        <v>26</v>
      </c>
      <c r="Q115">
        <v>1.2</v>
      </c>
      <c r="R115" t="s">
        <v>112</v>
      </c>
      <c r="S115" t="s">
        <v>112</v>
      </c>
      <c r="T115" t="s">
        <v>112</v>
      </c>
      <c r="U115" s="3">
        <v>23</v>
      </c>
      <c r="V115" s="3">
        <v>16</v>
      </c>
      <c r="W115" s="3">
        <f t="shared" si="2"/>
        <v>7</v>
      </c>
      <c r="X115" s="4">
        <f t="shared" si="3"/>
        <v>30.4</v>
      </c>
    </row>
    <row r="116" spans="1:24" x14ac:dyDescent="0.35">
      <c r="A116">
        <v>115</v>
      </c>
      <c r="B116" t="s">
        <v>59</v>
      </c>
      <c r="C116" t="s">
        <v>113</v>
      </c>
      <c r="D116" t="s">
        <v>23</v>
      </c>
      <c r="E116">
        <v>2</v>
      </c>
      <c r="F116" t="s">
        <v>33</v>
      </c>
      <c r="G116" t="s">
        <v>26</v>
      </c>
      <c r="H116">
        <v>0.6</v>
      </c>
      <c r="I116" t="s">
        <v>25</v>
      </c>
      <c r="K116" t="s">
        <v>27</v>
      </c>
      <c r="L116">
        <v>3</v>
      </c>
      <c r="M116" t="s">
        <v>33</v>
      </c>
      <c r="N116" t="s">
        <v>26</v>
      </c>
      <c r="O116">
        <v>0.6</v>
      </c>
      <c r="P116" t="s">
        <v>25</v>
      </c>
      <c r="R116" t="s">
        <v>112</v>
      </c>
      <c r="S116" t="s">
        <v>112</v>
      </c>
      <c r="T116" t="s">
        <v>112</v>
      </c>
      <c r="U116" s="3">
        <v>26</v>
      </c>
      <c r="V116" s="3">
        <v>16</v>
      </c>
      <c r="W116" s="3">
        <f t="shared" si="2"/>
        <v>10</v>
      </c>
      <c r="X116" s="4">
        <f t="shared" si="3"/>
        <v>38.5</v>
      </c>
    </row>
    <row r="117" spans="1:24" x14ac:dyDescent="0.35">
      <c r="A117">
        <v>116</v>
      </c>
      <c r="B117" t="s">
        <v>61</v>
      </c>
      <c r="C117" t="s">
        <v>113</v>
      </c>
      <c r="D117" t="s">
        <v>23</v>
      </c>
      <c r="E117">
        <v>3</v>
      </c>
      <c r="F117" t="s">
        <v>33</v>
      </c>
      <c r="G117" t="s">
        <v>32</v>
      </c>
      <c r="H117">
        <v>4.2</v>
      </c>
      <c r="I117" t="s">
        <v>32</v>
      </c>
      <c r="J117">
        <v>3.7</v>
      </c>
      <c r="K117" t="s">
        <v>27</v>
      </c>
      <c r="L117">
        <v>1</v>
      </c>
      <c r="M117" t="s">
        <v>24</v>
      </c>
      <c r="N117" t="s">
        <v>32</v>
      </c>
      <c r="O117">
        <v>4.2</v>
      </c>
      <c r="P117" t="s">
        <v>32</v>
      </c>
      <c r="Q117">
        <v>3.7</v>
      </c>
      <c r="R117" t="s">
        <v>112</v>
      </c>
      <c r="S117" t="s">
        <v>112</v>
      </c>
      <c r="T117" t="s">
        <v>112</v>
      </c>
      <c r="U117" s="3">
        <v>21</v>
      </c>
      <c r="V117" s="3">
        <v>14</v>
      </c>
      <c r="W117" s="3">
        <f t="shared" si="2"/>
        <v>7</v>
      </c>
      <c r="X117" s="4">
        <f t="shared" si="3"/>
        <v>33.299999999999997</v>
      </c>
    </row>
    <row r="118" spans="1:24" x14ac:dyDescent="0.35">
      <c r="A118">
        <v>117</v>
      </c>
      <c r="B118" t="s">
        <v>63</v>
      </c>
      <c r="C118" t="s">
        <v>113</v>
      </c>
      <c r="D118" t="s">
        <v>23</v>
      </c>
      <c r="E118">
        <v>2</v>
      </c>
      <c r="F118" t="s">
        <v>33</v>
      </c>
      <c r="G118" t="s">
        <v>26</v>
      </c>
      <c r="H118">
        <v>2.1</v>
      </c>
      <c r="I118" t="s">
        <v>26</v>
      </c>
      <c r="J118">
        <v>1.3</v>
      </c>
      <c r="K118" t="s">
        <v>27</v>
      </c>
      <c r="L118">
        <v>1</v>
      </c>
      <c r="M118" t="s">
        <v>24</v>
      </c>
      <c r="N118" t="s">
        <v>26</v>
      </c>
      <c r="O118">
        <v>2.1</v>
      </c>
      <c r="P118" t="s">
        <v>26</v>
      </c>
      <c r="Q118">
        <v>1.3</v>
      </c>
      <c r="R118" t="s">
        <v>112</v>
      </c>
      <c r="S118" t="s">
        <v>112</v>
      </c>
      <c r="T118" t="s">
        <v>112</v>
      </c>
      <c r="U118" s="3">
        <v>22</v>
      </c>
      <c r="V118" s="3">
        <v>13</v>
      </c>
      <c r="W118" s="3">
        <f t="shared" si="2"/>
        <v>9</v>
      </c>
      <c r="X118" s="4">
        <f t="shared" si="3"/>
        <v>40.9</v>
      </c>
    </row>
    <row r="119" spans="1:24" x14ac:dyDescent="0.35">
      <c r="A119">
        <v>118</v>
      </c>
      <c r="B119" t="s">
        <v>65</v>
      </c>
      <c r="C119" t="s">
        <v>113</v>
      </c>
      <c r="D119" t="s">
        <v>23</v>
      </c>
      <c r="E119">
        <v>3</v>
      </c>
      <c r="F119" t="s">
        <v>33</v>
      </c>
      <c r="G119" t="s">
        <v>25</v>
      </c>
      <c r="I119" t="s">
        <v>26</v>
      </c>
      <c r="J119">
        <v>1.5</v>
      </c>
      <c r="K119" t="s">
        <v>27</v>
      </c>
      <c r="L119">
        <v>2</v>
      </c>
      <c r="M119" t="s">
        <v>24</v>
      </c>
      <c r="N119" t="s">
        <v>25</v>
      </c>
      <c r="P119" t="s">
        <v>26</v>
      </c>
      <c r="Q119">
        <v>1.5</v>
      </c>
      <c r="R119" t="s">
        <v>112</v>
      </c>
      <c r="S119" t="s">
        <v>112</v>
      </c>
      <c r="T119" t="s">
        <v>112</v>
      </c>
      <c r="U119" s="3">
        <v>31</v>
      </c>
      <c r="V119" s="3">
        <v>18</v>
      </c>
      <c r="W119" s="3">
        <f t="shared" si="2"/>
        <v>13</v>
      </c>
      <c r="X119" s="4">
        <f t="shared" si="3"/>
        <v>41.9</v>
      </c>
    </row>
    <row r="120" spans="1:24" x14ac:dyDescent="0.35">
      <c r="A120">
        <v>119</v>
      </c>
      <c r="B120" t="s">
        <v>67</v>
      </c>
      <c r="C120" t="s">
        <v>113</v>
      </c>
      <c r="D120" t="s">
        <v>23</v>
      </c>
      <c r="E120">
        <v>1</v>
      </c>
      <c r="F120" t="s">
        <v>24</v>
      </c>
      <c r="G120" t="s">
        <v>26</v>
      </c>
      <c r="H120">
        <v>1.2</v>
      </c>
      <c r="I120" t="s">
        <v>25</v>
      </c>
      <c r="K120" t="s">
        <v>27</v>
      </c>
      <c r="L120">
        <v>2</v>
      </c>
      <c r="M120" t="s">
        <v>33</v>
      </c>
      <c r="N120" t="s">
        <v>26</v>
      </c>
      <c r="O120">
        <v>1.2</v>
      </c>
      <c r="P120" t="s">
        <v>25</v>
      </c>
      <c r="R120" t="s">
        <v>112</v>
      </c>
      <c r="S120" t="s">
        <v>112</v>
      </c>
      <c r="T120" t="s">
        <v>112</v>
      </c>
      <c r="U120" s="3">
        <v>25</v>
      </c>
      <c r="V120" s="3">
        <v>15</v>
      </c>
      <c r="W120" s="3">
        <f t="shared" si="2"/>
        <v>10</v>
      </c>
      <c r="X120" s="4">
        <f t="shared" si="3"/>
        <v>40</v>
      </c>
    </row>
    <row r="121" spans="1:24" x14ac:dyDescent="0.35">
      <c r="A121">
        <v>120</v>
      </c>
      <c r="B121" t="s">
        <v>69</v>
      </c>
      <c r="C121" t="s">
        <v>113</v>
      </c>
      <c r="D121" t="s">
        <v>23</v>
      </c>
      <c r="E121">
        <v>2</v>
      </c>
      <c r="F121" t="s">
        <v>24</v>
      </c>
      <c r="G121" t="s">
        <v>25</v>
      </c>
      <c r="I121" t="s">
        <v>26</v>
      </c>
      <c r="J121">
        <v>1.1000000000000001</v>
      </c>
      <c r="K121" t="s">
        <v>27</v>
      </c>
      <c r="L121">
        <v>3</v>
      </c>
      <c r="M121" t="s">
        <v>24</v>
      </c>
      <c r="N121" t="s">
        <v>25</v>
      </c>
      <c r="P121" t="s">
        <v>26</v>
      </c>
      <c r="Q121">
        <v>1.1000000000000001</v>
      </c>
      <c r="R121" t="s">
        <v>112</v>
      </c>
      <c r="S121" t="s">
        <v>112</v>
      </c>
      <c r="T121" t="s">
        <v>112</v>
      </c>
      <c r="U121" s="3">
        <v>30</v>
      </c>
      <c r="V121" s="3">
        <v>17</v>
      </c>
      <c r="W121" s="3">
        <f t="shared" si="2"/>
        <v>13</v>
      </c>
      <c r="X121" s="4">
        <f t="shared" si="3"/>
        <v>43.3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F7B-4BDA-45F5-A1AF-C3253739497B}">
  <dimension ref="A1:L241"/>
  <sheetViews>
    <sheetView workbookViewId="0">
      <selection activeCell="G27" sqref="G27"/>
    </sheetView>
  </sheetViews>
  <sheetFormatPr baseColWidth="10" defaultRowHeight="14.5" x14ac:dyDescent="0.35"/>
  <sheetData>
    <row r="1" spans="1:12" x14ac:dyDescent="0.35">
      <c r="A1" t="s">
        <v>139</v>
      </c>
      <c r="B1" t="s">
        <v>1</v>
      </c>
      <c r="C1" t="s">
        <v>2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</row>
    <row r="2" spans="1:12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20</v>
      </c>
      <c r="G2" t="s">
        <v>149</v>
      </c>
      <c r="H2" t="s">
        <v>149</v>
      </c>
      <c r="I2" t="s">
        <v>26</v>
      </c>
      <c r="J2">
        <v>22.2</v>
      </c>
      <c r="K2">
        <v>2.2000000000000002</v>
      </c>
      <c r="L2">
        <v>4</v>
      </c>
    </row>
    <row r="3" spans="1:12" x14ac:dyDescent="0.35">
      <c r="A3">
        <v>1</v>
      </c>
      <c r="B3" t="s">
        <v>21</v>
      </c>
      <c r="C3" t="s">
        <v>22</v>
      </c>
      <c r="D3" t="s">
        <v>27</v>
      </c>
      <c r="E3" t="s">
        <v>24</v>
      </c>
      <c r="F3">
        <v>23</v>
      </c>
      <c r="G3" t="s">
        <v>149</v>
      </c>
      <c r="H3" t="s">
        <v>149</v>
      </c>
      <c r="I3" t="s">
        <v>26</v>
      </c>
      <c r="J3">
        <v>25.6</v>
      </c>
      <c r="K3">
        <v>2.6</v>
      </c>
      <c r="L3">
        <v>4</v>
      </c>
    </row>
    <row r="4" spans="1:12" x14ac:dyDescent="0.35">
      <c r="A4">
        <v>2</v>
      </c>
      <c r="B4" t="s">
        <v>31</v>
      </c>
      <c r="C4" t="s">
        <v>22</v>
      </c>
      <c r="D4" t="s">
        <v>23</v>
      </c>
      <c r="E4" t="s">
        <v>24</v>
      </c>
      <c r="F4">
        <v>21</v>
      </c>
      <c r="G4">
        <v>22.2</v>
      </c>
      <c r="H4">
        <v>1.2</v>
      </c>
      <c r="I4" t="s">
        <v>32</v>
      </c>
      <c r="J4">
        <v>23.8</v>
      </c>
      <c r="K4">
        <v>2.8</v>
      </c>
      <c r="L4">
        <v>4</v>
      </c>
    </row>
    <row r="5" spans="1:12" x14ac:dyDescent="0.35">
      <c r="A5">
        <v>2</v>
      </c>
      <c r="B5" t="s">
        <v>31</v>
      </c>
      <c r="C5" t="s">
        <v>22</v>
      </c>
      <c r="D5" t="s">
        <v>27</v>
      </c>
      <c r="E5" t="s">
        <v>33</v>
      </c>
      <c r="F5">
        <v>18</v>
      </c>
      <c r="G5">
        <v>19.2</v>
      </c>
      <c r="H5">
        <v>1.2</v>
      </c>
      <c r="I5" t="s">
        <v>32</v>
      </c>
      <c r="J5">
        <v>21</v>
      </c>
      <c r="K5">
        <v>3</v>
      </c>
      <c r="L5">
        <v>4</v>
      </c>
    </row>
    <row r="6" spans="1:12" x14ac:dyDescent="0.35">
      <c r="A6">
        <v>3</v>
      </c>
      <c r="B6" t="s">
        <v>35</v>
      </c>
      <c r="C6" t="s">
        <v>22</v>
      </c>
      <c r="D6" t="s">
        <v>23</v>
      </c>
      <c r="E6" t="s">
        <v>24</v>
      </c>
      <c r="F6">
        <v>24</v>
      </c>
      <c r="G6">
        <v>26.5</v>
      </c>
      <c r="H6">
        <v>2.5</v>
      </c>
      <c r="I6" t="s">
        <v>25</v>
      </c>
      <c r="J6" t="s">
        <v>149</v>
      </c>
      <c r="K6" t="s">
        <v>149</v>
      </c>
      <c r="L6">
        <v>4</v>
      </c>
    </row>
    <row r="7" spans="1:12" x14ac:dyDescent="0.35">
      <c r="A7">
        <v>3</v>
      </c>
      <c r="B7" t="s">
        <v>35</v>
      </c>
      <c r="C7" t="s">
        <v>22</v>
      </c>
      <c r="D7" t="s">
        <v>27</v>
      </c>
      <c r="E7" t="s">
        <v>33</v>
      </c>
      <c r="F7">
        <v>19</v>
      </c>
      <c r="G7">
        <v>21.5</v>
      </c>
      <c r="H7">
        <v>2.5</v>
      </c>
      <c r="I7" t="s">
        <v>25</v>
      </c>
      <c r="J7" t="s">
        <v>149</v>
      </c>
      <c r="K7" t="s">
        <v>149</v>
      </c>
      <c r="L7">
        <v>4</v>
      </c>
    </row>
    <row r="8" spans="1:12" x14ac:dyDescent="0.35">
      <c r="A8">
        <v>4</v>
      </c>
      <c r="B8" t="s">
        <v>37</v>
      </c>
      <c r="C8" t="s">
        <v>22</v>
      </c>
      <c r="D8" t="s">
        <v>23</v>
      </c>
      <c r="E8" t="s">
        <v>24</v>
      </c>
      <c r="F8">
        <v>22</v>
      </c>
      <c r="G8" t="s">
        <v>149</v>
      </c>
      <c r="H8" t="s">
        <v>149</v>
      </c>
      <c r="I8" t="s">
        <v>26</v>
      </c>
      <c r="J8">
        <v>25.2</v>
      </c>
      <c r="K8">
        <v>3.2</v>
      </c>
      <c r="L8">
        <v>4</v>
      </c>
    </row>
    <row r="9" spans="1:12" x14ac:dyDescent="0.35">
      <c r="A9">
        <v>4</v>
      </c>
      <c r="B9" t="s">
        <v>37</v>
      </c>
      <c r="C9" t="s">
        <v>22</v>
      </c>
      <c r="D9" t="s">
        <v>27</v>
      </c>
      <c r="E9" t="s">
        <v>24</v>
      </c>
      <c r="F9">
        <v>25</v>
      </c>
      <c r="G9" t="s">
        <v>149</v>
      </c>
      <c r="H9" t="s">
        <v>149</v>
      </c>
      <c r="I9" t="s">
        <v>26</v>
      </c>
      <c r="J9">
        <v>28.4</v>
      </c>
      <c r="K9">
        <v>3.4</v>
      </c>
      <c r="L9">
        <v>4</v>
      </c>
    </row>
    <row r="10" spans="1:12" x14ac:dyDescent="0.35">
      <c r="A10">
        <v>5</v>
      </c>
      <c r="B10" t="s">
        <v>39</v>
      </c>
      <c r="C10" t="s">
        <v>22</v>
      </c>
      <c r="D10" t="s">
        <v>23</v>
      </c>
      <c r="E10" t="s">
        <v>33</v>
      </c>
      <c r="F10">
        <v>18</v>
      </c>
      <c r="G10">
        <v>23</v>
      </c>
      <c r="H10">
        <v>5</v>
      </c>
      <c r="I10" t="s">
        <v>26</v>
      </c>
      <c r="J10">
        <v>21.8</v>
      </c>
      <c r="K10">
        <v>3.8</v>
      </c>
      <c r="L10">
        <v>4</v>
      </c>
    </row>
    <row r="11" spans="1:12" x14ac:dyDescent="0.35">
      <c r="A11">
        <v>5</v>
      </c>
      <c r="B11" t="s">
        <v>39</v>
      </c>
      <c r="C11" t="s">
        <v>22</v>
      </c>
      <c r="D11" t="s">
        <v>27</v>
      </c>
      <c r="E11" t="s">
        <v>24</v>
      </c>
      <c r="F11">
        <v>21</v>
      </c>
      <c r="G11">
        <v>26</v>
      </c>
      <c r="H11">
        <v>5</v>
      </c>
      <c r="I11" t="s">
        <v>26</v>
      </c>
      <c r="J11">
        <v>23.2</v>
      </c>
      <c r="K11">
        <v>2.2000000000000002</v>
      </c>
      <c r="L11">
        <v>4</v>
      </c>
    </row>
    <row r="12" spans="1:12" x14ac:dyDescent="0.35">
      <c r="A12">
        <v>6</v>
      </c>
      <c r="B12" t="s">
        <v>41</v>
      </c>
      <c r="C12" t="s">
        <v>22</v>
      </c>
      <c r="D12" t="s">
        <v>23</v>
      </c>
      <c r="E12" t="s">
        <v>33</v>
      </c>
      <c r="F12">
        <v>23</v>
      </c>
      <c r="G12">
        <v>25.2</v>
      </c>
      <c r="H12">
        <v>2.2000000000000002</v>
      </c>
      <c r="I12" t="s">
        <v>32</v>
      </c>
      <c r="J12">
        <v>25.6</v>
      </c>
      <c r="K12">
        <v>2.6</v>
      </c>
      <c r="L12">
        <v>4</v>
      </c>
    </row>
    <row r="13" spans="1:12" x14ac:dyDescent="0.35">
      <c r="A13">
        <v>6</v>
      </c>
      <c r="B13" t="s">
        <v>41</v>
      </c>
      <c r="C13" t="s">
        <v>22</v>
      </c>
      <c r="D13" t="s">
        <v>27</v>
      </c>
      <c r="E13" t="s">
        <v>33</v>
      </c>
      <c r="F13">
        <v>20</v>
      </c>
      <c r="G13">
        <v>22.2</v>
      </c>
      <c r="H13">
        <v>2.2000000000000002</v>
      </c>
      <c r="I13" t="s">
        <v>32</v>
      </c>
      <c r="J13">
        <v>22.8</v>
      </c>
      <c r="K13">
        <v>2.8</v>
      </c>
      <c r="L13">
        <v>4</v>
      </c>
    </row>
    <row r="14" spans="1:12" x14ac:dyDescent="0.35">
      <c r="A14">
        <v>7</v>
      </c>
      <c r="B14" t="s">
        <v>43</v>
      </c>
      <c r="C14" t="s">
        <v>22</v>
      </c>
      <c r="D14" t="s">
        <v>23</v>
      </c>
      <c r="E14" t="s">
        <v>33</v>
      </c>
      <c r="F14">
        <v>19</v>
      </c>
      <c r="G14">
        <v>22.4</v>
      </c>
      <c r="H14">
        <v>3.4</v>
      </c>
      <c r="I14" t="s">
        <v>32</v>
      </c>
      <c r="J14">
        <v>22</v>
      </c>
      <c r="K14">
        <v>3</v>
      </c>
      <c r="L14">
        <v>4</v>
      </c>
    </row>
    <row r="15" spans="1:12" x14ac:dyDescent="0.35">
      <c r="A15">
        <v>7</v>
      </c>
      <c r="B15" t="s">
        <v>43</v>
      </c>
      <c r="C15" t="s">
        <v>22</v>
      </c>
      <c r="D15" t="s">
        <v>27</v>
      </c>
      <c r="E15" t="s">
        <v>24</v>
      </c>
      <c r="F15">
        <v>24</v>
      </c>
      <c r="G15">
        <v>27.4</v>
      </c>
      <c r="H15">
        <v>3.4</v>
      </c>
      <c r="I15" t="s">
        <v>32</v>
      </c>
      <c r="J15">
        <v>27.2</v>
      </c>
      <c r="K15">
        <v>3.2</v>
      </c>
      <c r="L15">
        <v>4</v>
      </c>
    </row>
    <row r="16" spans="1:12" x14ac:dyDescent="0.35">
      <c r="A16">
        <v>8</v>
      </c>
      <c r="B16" t="s">
        <v>45</v>
      </c>
      <c r="C16" t="s">
        <v>22</v>
      </c>
      <c r="D16" t="s">
        <v>23</v>
      </c>
      <c r="E16" t="s">
        <v>33</v>
      </c>
      <c r="F16">
        <v>17</v>
      </c>
      <c r="G16">
        <v>20.7</v>
      </c>
      <c r="H16">
        <v>3.7</v>
      </c>
      <c r="I16" t="s">
        <v>26</v>
      </c>
      <c r="J16">
        <v>20.399999999999999</v>
      </c>
      <c r="K16">
        <v>3.4</v>
      </c>
      <c r="L16">
        <v>4</v>
      </c>
    </row>
    <row r="17" spans="1:12" x14ac:dyDescent="0.35">
      <c r="A17">
        <v>8</v>
      </c>
      <c r="B17" t="s">
        <v>45</v>
      </c>
      <c r="C17" t="s">
        <v>22</v>
      </c>
      <c r="D17" t="s">
        <v>27</v>
      </c>
      <c r="E17" t="s">
        <v>33</v>
      </c>
      <c r="F17">
        <v>20</v>
      </c>
      <c r="G17">
        <v>23.7</v>
      </c>
      <c r="H17">
        <v>3.7</v>
      </c>
      <c r="I17" t="s">
        <v>26</v>
      </c>
      <c r="J17">
        <v>23.8</v>
      </c>
      <c r="K17">
        <v>3.8</v>
      </c>
      <c r="L17">
        <v>4</v>
      </c>
    </row>
    <row r="18" spans="1:12" x14ac:dyDescent="0.35">
      <c r="A18">
        <v>9</v>
      </c>
      <c r="B18" t="s">
        <v>47</v>
      </c>
      <c r="C18" t="s">
        <v>22</v>
      </c>
      <c r="D18" t="s">
        <v>23</v>
      </c>
      <c r="E18" t="s">
        <v>33</v>
      </c>
      <c r="F18">
        <v>22</v>
      </c>
      <c r="G18">
        <v>25.5</v>
      </c>
      <c r="H18">
        <v>3.5</v>
      </c>
      <c r="I18" t="s">
        <v>32</v>
      </c>
      <c r="J18">
        <v>24.2</v>
      </c>
      <c r="K18">
        <v>2.2000000000000002</v>
      </c>
      <c r="L18">
        <v>4</v>
      </c>
    </row>
    <row r="19" spans="1:12" x14ac:dyDescent="0.35">
      <c r="A19">
        <v>9</v>
      </c>
      <c r="B19" t="s">
        <v>47</v>
      </c>
      <c r="C19" t="s">
        <v>22</v>
      </c>
      <c r="D19" t="s">
        <v>27</v>
      </c>
      <c r="E19" t="s">
        <v>33</v>
      </c>
      <c r="F19">
        <v>25</v>
      </c>
      <c r="G19">
        <v>28.5</v>
      </c>
      <c r="H19">
        <v>3.5</v>
      </c>
      <c r="I19" t="s">
        <v>32</v>
      </c>
      <c r="J19">
        <v>27.6</v>
      </c>
      <c r="K19">
        <v>2.6</v>
      </c>
      <c r="L19">
        <v>4</v>
      </c>
    </row>
    <row r="20" spans="1:12" x14ac:dyDescent="0.35">
      <c r="A20">
        <v>10</v>
      </c>
      <c r="B20" t="s">
        <v>49</v>
      </c>
      <c r="C20" t="s">
        <v>22</v>
      </c>
      <c r="D20" t="s">
        <v>23</v>
      </c>
      <c r="E20" t="s">
        <v>24</v>
      </c>
      <c r="F20">
        <v>21</v>
      </c>
      <c r="G20">
        <v>23.5</v>
      </c>
      <c r="H20">
        <v>2.5</v>
      </c>
      <c r="I20" t="s">
        <v>26</v>
      </c>
      <c r="J20">
        <v>23.8</v>
      </c>
      <c r="K20">
        <v>2.8</v>
      </c>
      <c r="L20">
        <v>4</v>
      </c>
    </row>
    <row r="21" spans="1:12" x14ac:dyDescent="0.35">
      <c r="A21">
        <v>10</v>
      </c>
      <c r="B21" t="s">
        <v>49</v>
      </c>
      <c r="C21" t="s">
        <v>22</v>
      </c>
      <c r="D21" t="s">
        <v>27</v>
      </c>
      <c r="E21" t="s">
        <v>24</v>
      </c>
      <c r="F21">
        <v>24</v>
      </c>
      <c r="G21">
        <v>26.5</v>
      </c>
      <c r="H21">
        <v>2.5</v>
      </c>
      <c r="I21" t="s">
        <v>26</v>
      </c>
      <c r="J21">
        <v>27</v>
      </c>
      <c r="K21">
        <v>3</v>
      </c>
      <c r="L21">
        <v>4</v>
      </c>
    </row>
    <row r="22" spans="1:12" x14ac:dyDescent="0.35">
      <c r="A22">
        <v>11</v>
      </c>
      <c r="B22" t="s">
        <v>51</v>
      </c>
      <c r="C22" t="s">
        <v>22</v>
      </c>
      <c r="D22" t="s">
        <v>23</v>
      </c>
      <c r="E22" t="s">
        <v>24</v>
      </c>
      <c r="F22">
        <v>19</v>
      </c>
      <c r="G22" t="s">
        <v>149</v>
      </c>
      <c r="H22" t="s">
        <v>149</v>
      </c>
      <c r="I22" t="s">
        <v>25</v>
      </c>
      <c r="J22" t="s">
        <v>149</v>
      </c>
      <c r="K22" t="s">
        <v>149</v>
      </c>
      <c r="L22">
        <v>4</v>
      </c>
    </row>
    <row r="23" spans="1:12" x14ac:dyDescent="0.35">
      <c r="A23">
        <v>11</v>
      </c>
      <c r="B23" t="s">
        <v>51</v>
      </c>
      <c r="C23" t="s">
        <v>22</v>
      </c>
      <c r="D23" t="s">
        <v>27</v>
      </c>
      <c r="E23" t="s">
        <v>33</v>
      </c>
      <c r="F23">
        <v>22</v>
      </c>
      <c r="G23" t="s">
        <v>149</v>
      </c>
      <c r="H23" t="s">
        <v>149</v>
      </c>
      <c r="I23" t="s">
        <v>25</v>
      </c>
      <c r="J23" t="s">
        <v>149</v>
      </c>
      <c r="K23" t="s">
        <v>149</v>
      </c>
      <c r="L23">
        <v>4</v>
      </c>
    </row>
    <row r="24" spans="1:12" x14ac:dyDescent="0.35">
      <c r="A24">
        <v>12</v>
      </c>
      <c r="B24" t="s">
        <v>53</v>
      </c>
      <c r="C24" t="s">
        <v>22</v>
      </c>
      <c r="D24" t="s">
        <v>23</v>
      </c>
      <c r="E24" t="s">
        <v>24</v>
      </c>
      <c r="F24">
        <v>23</v>
      </c>
      <c r="G24">
        <v>26.4</v>
      </c>
      <c r="H24">
        <v>3.4</v>
      </c>
      <c r="I24" t="s">
        <v>26</v>
      </c>
      <c r="J24">
        <v>26.2</v>
      </c>
      <c r="K24">
        <v>3.2</v>
      </c>
      <c r="L24">
        <v>4</v>
      </c>
    </row>
    <row r="25" spans="1:12" x14ac:dyDescent="0.35">
      <c r="A25">
        <v>12</v>
      </c>
      <c r="B25" t="s">
        <v>53</v>
      </c>
      <c r="C25" t="s">
        <v>22</v>
      </c>
      <c r="D25" t="s">
        <v>27</v>
      </c>
      <c r="E25" t="s">
        <v>33</v>
      </c>
      <c r="F25">
        <v>18</v>
      </c>
      <c r="G25">
        <v>21.4</v>
      </c>
      <c r="H25">
        <v>3.4</v>
      </c>
      <c r="I25" t="s">
        <v>26</v>
      </c>
      <c r="J25">
        <v>21.4</v>
      </c>
      <c r="K25">
        <v>3.4</v>
      </c>
      <c r="L25">
        <v>4</v>
      </c>
    </row>
    <row r="26" spans="1:12" x14ac:dyDescent="0.35">
      <c r="A26">
        <v>13</v>
      </c>
      <c r="B26" t="s">
        <v>55</v>
      </c>
      <c r="C26" t="s">
        <v>22</v>
      </c>
      <c r="D26" t="s">
        <v>23</v>
      </c>
      <c r="E26" t="s">
        <v>33</v>
      </c>
      <c r="F26">
        <v>20</v>
      </c>
      <c r="G26">
        <v>23.2</v>
      </c>
      <c r="H26">
        <v>3.2</v>
      </c>
      <c r="I26" t="s">
        <v>26</v>
      </c>
      <c r="J26">
        <v>23.8</v>
      </c>
      <c r="K26">
        <v>3.8</v>
      </c>
      <c r="L26">
        <v>4</v>
      </c>
    </row>
    <row r="27" spans="1:12" x14ac:dyDescent="0.35">
      <c r="A27">
        <v>13</v>
      </c>
      <c r="B27" t="s">
        <v>55</v>
      </c>
      <c r="C27" t="s">
        <v>22</v>
      </c>
      <c r="D27" t="s">
        <v>27</v>
      </c>
      <c r="E27" t="s">
        <v>24</v>
      </c>
      <c r="F27">
        <v>24</v>
      </c>
      <c r="G27">
        <v>27.2</v>
      </c>
      <c r="H27">
        <v>3.2</v>
      </c>
      <c r="I27" t="s">
        <v>26</v>
      </c>
      <c r="J27">
        <v>26.2</v>
      </c>
      <c r="K27">
        <v>2.2000000000000002</v>
      </c>
      <c r="L27">
        <v>4</v>
      </c>
    </row>
    <row r="28" spans="1:12" x14ac:dyDescent="0.35">
      <c r="A28">
        <v>14</v>
      </c>
      <c r="B28" t="s">
        <v>57</v>
      </c>
      <c r="C28" t="s">
        <v>22</v>
      </c>
      <c r="D28" t="s">
        <v>23</v>
      </c>
      <c r="E28" t="s">
        <v>33</v>
      </c>
      <c r="F28">
        <v>22</v>
      </c>
      <c r="G28">
        <v>23.5</v>
      </c>
      <c r="H28">
        <v>1.5</v>
      </c>
      <c r="I28" t="s">
        <v>26</v>
      </c>
      <c r="J28">
        <v>24.6</v>
      </c>
      <c r="K28">
        <v>2.6</v>
      </c>
      <c r="L28">
        <v>4</v>
      </c>
    </row>
    <row r="29" spans="1:12" x14ac:dyDescent="0.35">
      <c r="A29">
        <v>14</v>
      </c>
      <c r="B29" t="s">
        <v>57</v>
      </c>
      <c r="C29" t="s">
        <v>22</v>
      </c>
      <c r="D29" t="s">
        <v>27</v>
      </c>
      <c r="E29" t="s">
        <v>33</v>
      </c>
      <c r="F29">
        <v>19</v>
      </c>
      <c r="G29">
        <v>20.5</v>
      </c>
      <c r="H29">
        <v>1.5</v>
      </c>
      <c r="I29" t="s">
        <v>26</v>
      </c>
      <c r="J29">
        <v>21.8</v>
      </c>
      <c r="K29">
        <v>2.8</v>
      </c>
      <c r="L29">
        <v>4</v>
      </c>
    </row>
    <row r="30" spans="1:12" x14ac:dyDescent="0.35">
      <c r="A30">
        <v>15</v>
      </c>
      <c r="B30" t="s">
        <v>59</v>
      </c>
      <c r="C30" t="s">
        <v>22</v>
      </c>
      <c r="D30" t="s">
        <v>23</v>
      </c>
      <c r="E30" t="s">
        <v>33</v>
      </c>
      <c r="F30">
        <v>21</v>
      </c>
      <c r="G30">
        <v>22.9</v>
      </c>
      <c r="H30">
        <v>1.9</v>
      </c>
      <c r="I30" t="s">
        <v>26</v>
      </c>
      <c r="J30">
        <v>24</v>
      </c>
      <c r="K30">
        <v>3</v>
      </c>
      <c r="L30">
        <v>4</v>
      </c>
    </row>
    <row r="31" spans="1:12" x14ac:dyDescent="0.35">
      <c r="A31">
        <v>15</v>
      </c>
      <c r="B31" t="s">
        <v>59</v>
      </c>
      <c r="C31" t="s">
        <v>22</v>
      </c>
      <c r="D31" t="s">
        <v>27</v>
      </c>
      <c r="E31" t="s">
        <v>33</v>
      </c>
      <c r="F31">
        <v>24</v>
      </c>
      <c r="G31">
        <v>25.9</v>
      </c>
      <c r="H31">
        <v>1.9</v>
      </c>
      <c r="I31" t="s">
        <v>26</v>
      </c>
      <c r="J31">
        <v>27.2</v>
      </c>
      <c r="K31">
        <v>3.2</v>
      </c>
      <c r="L31">
        <v>4</v>
      </c>
    </row>
    <row r="32" spans="1:12" x14ac:dyDescent="0.35">
      <c r="A32">
        <v>16</v>
      </c>
      <c r="B32" t="s">
        <v>61</v>
      </c>
      <c r="C32" t="s">
        <v>22</v>
      </c>
      <c r="D32" t="s">
        <v>23</v>
      </c>
      <c r="E32" t="s">
        <v>24</v>
      </c>
      <c r="F32">
        <v>25</v>
      </c>
      <c r="G32">
        <v>28.9</v>
      </c>
      <c r="H32">
        <v>3.9</v>
      </c>
      <c r="I32" t="s">
        <v>26</v>
      </c>
      <c r="J32">
        <v>28.4</v>
      </c>
      <c r="K32">
        <v>3.4</v>
      </c>
      <c r="L32">
        <v>4</v>
      </c>
    </row>
    <row r="33" spans="1:12" x14ac:dyDescent="0.35">
      <c r="A33">
        <v>16</v>
      </c>
      <c r="B33" t="s">
        <v>61</v>
      </c>
      <c r="C33" t="s">
        <v>22</v>
      </c>
      <c r="D33" t="s">
        <v>27</v>
      </c>
      <c r="E33" t="s">
        <v>33</v>
      </c>
      <c r="F33">
        <v>20</v>
      </c>
      <c r="G33">
        <v>23.9</v>
      </c>
      <c r="H33">
        <v>3.9</v>
      </c>
      <c r="I33" t="s">
        <v>26</v>
      </c>
      <c r="J33">
        <v>23.8</v>
      </c>
      <c r="K33">
        <v>3.8</v>
      </c>
      <c r="L33">
        <v>4</v>
      </c>
    </row>
    <row r="34" spans="1:12" x14ac:dyDescent="0.35">
      <c r="A34">
        <v>17</v>
      </c>
      <c r="B34" t="s">
        <v>63</v>
      </c>
      <c r="C34" t="s">
        <v>22</v>
      </c>
      <c r="D34" t="s">
        <v>23</v>
      </c>
      <c r="E34" t="s">
        <v>24</v>
      </c>
      <c r="F34">
        <v>23</v>
      </c>
      <c r="G34">
        <v>25.4</v>
      </c>
      <c r="H34">
        <v>2.4</v>
      </c>
      <c r="I34" t="s">
        <v>26</v>
      </c>
      <c r="J34">
        <v>25.2</v>
      </c>
      <c r="K34">
        <v>2.2000000000000002</v>
      </c>
      <c r="L34">
        <v>4</v>
      </c>
    </row>
    <row r="35" spans="1:12" x14ac:dyDescent="0.35">
      <c r="A35">
        <v>17</v>
      </c>
      <c r="B35" t="s">
        <v>63</v>
      </c>
      <c r="C35" t="s">
        <v>22</v>
      </c>
      <c r="D35" t="s">
        <v>27</v>
      </c>
      <c r="E35" t="s">
        <v>33</v>
      </c>
      <c r="F35">
        <v>18</v>
      </c>
      <c r="G35">
        <v>20.399999999999999</v>
      </c>
      <c r="H35">
        <v>2.4</v>
      </c>
      <c r="I35" t="s">
        <v>26</v>
      </c>
      <c r="J35">
        <v>20.6</v>
      </c>
      <c r="K35">
        <v>2.6</v>
      </c>
      <c r="L35">
        <v>4</v>
      </c>
    </row>
    <row r="36" spans="1:12" x14ac:dyDescent="0.35">
      <c r="A36">
        <v>18</v>
      </c>
      <c r="B36" t="s">
        <v>65</v>
      </c>
      <c r="C36" t="s">
        <v>22</v>
      </c>
      <c r="D36" t="s">
        <v>23</v>
      </c>
      <c r="E36" t="s">
        <v>24</v>
      </c>
      <c r="F36">
        <v>21</v>
      </c>
      <c r="G36" t="s">
        <v>149</v>
      </c>
      <c r="H36" t="s">
        <v>149</v>
      </c>
      <c r="I36" t="s">
        <v>26</v>
      </c>
      <c r="J36">
        <v>23.8</v>
      </c>
      <c r="K36">
        <v>2.8</v>
      </c>
      <c r="L36">
        <v>4</v>
      </c>
    </row>
    <row r="37" spans="1:12" x14ac:dyDescent="0.35">
      <c r="A37">
        <v>18</v>
      </c>
      <c r="B37" t="s">
        <v>65</v>
      </c>
      <c r="C37" t="s">
        <v>22</v>
      </c>
      <c r="D37" t="s">
        <v>27</v>
      </c>
      <c r="E37" t="s">
        <v>24</v>
      </c>
      <c r="F37">
        <v>24</v>
      </c>
      <c r="G37" t="s">
        <v>149</v>
      </c>
      <c r="H37" t="s">
        <v>149</v>
      </c>
      <c r="I37" t="s">
        <v>26</v>
      </c>
      <c r="J37">
        <v>27</v>
      </c>
      <c r="K37">
        <v>3</v>
      </c>
      <c r="L37">
        <v>4</v>
      </c>
    </row>
    <row r="38" spans="1:12" x14ac:dyDescent="0.35">
      <c r="A38">
        <v>19</v>
      </c>
      <c r="B38" t="s">
        <v>67</v>
      </c>
      <c r="C38" t="s">
        <v>22</v>
      </c>
      <c r="D38" t="s">
        <v>23</v>
      </c>
      <c r="E38" t="s">
        <v>33</v>
      </c>
      <c r="F38">
        <v>19</v>
      </c>
      <c r="G38">
        <v>22.8</v>
      </c>
      <c r="H38">
        <v>3.8</v>
      </c>
      <c r="I38" t="s">
        <v>32</v>
      </c>
      <c r="J38">
        <v>22.2</v>
      </c>
      <c r="K38">
        <v>3.2</v>
      </c>
      <c r="L38">
        <v>4</v>
      </c>
    </row>
    <row r="39" spans="1:12" x14ac:dyDescent="0.35">
      <c r="A39">
        <v>19</v>
      </c>
      <c r="B39" t="s">
        <v>67</v>
      </c>
      <c r="C39" t="s">
        <v>22</v>
      </c>
      <c r="D39" t="s">
        <v>27</v>
      </c>
      <c r="E39" t="s">
        <v>24</v>
      </c>
      <c r="F39">
        <v>23</v>
      </c>
      <c r="G39">
        <v>26.8</v>
      </c>
      <c r="H39">
        <v>3.8</v>
      </c>
      <c r="I39" t="s">
        <v>32</v>
      </c>
      <c r="J39">
        <v>26.4</v>
      </c>
      <c r="K39">
        <v>3.4</v>
      </c>
      <c r="L39">
        <v>4</v>
      </c>
    </row>
    <row r="40" spans="1:12" x14ac:dyDescent="0.35">
      <c r="A40">
        <v>20</v>
      </c>
      <c r="B40" t="s">
        <v>69</v>
      </c>
      <c r="C40" t="s">
        <v>22</v>
      </c>
      <c r="D40" t="s">
        <v>23</v>
      </c>
      <c r="E40" t="s">
        <v>24</v>
      </c>
      <c r="F40">
        <v>22</v>
      </c>
      <c r="G40">
        <v>24.5</v>
      </c>
      <c r="H40">
        <v>2.5</v>
      </c>
      <c r="I40" t="s">
        <v>32</v>
      </c>
      <c r="J40">
        <v>25.8</v>
      </c>
      <c r="K40">
        <v>3.8</v>
      </c>
      <c r="L40">
        <v>4</v>
      </c>
    </row>
    <row r="41" spans="1:12" x14ac:dyDescent="0.35">
      <c r="A41">
        <v>20</v>
      </c>
      <c r="B41" t="s">
        <v>69</v>
      </c>
      <c r="C41" t="s">
        <v>22</v>
      </c>
      <c r="D41" t="s">
        <v>27</v>
      </c>
      <c r="E41" t="s">
        <v>24</v>
      </c>
      <c r="F41">
        <v>26</v>
      </c>
      <c r="G41">
        <v>28.5</v>
      </c>
      <c r="H41">
        <v>2.5</v>
      </c>
      <c r="I41" t="s">
        <v>32</v>
      </c>
      <c r="J41">
        <v>28.2</v>
      </c>
      <c r="K41">
        <v>2.2000000000000002</v>
      </c>
      <c r="L41">
        <v>4</v>
      </c>
    </row>
    <row r="42" spans="1:12" x14ac:dyDescent="0.35">
      <c r="A42">
        <v>21</v>
      </c>
      <c r="B42" t="s">
        <v>21</v>
      </c>
      <c r="C42" t="s">
        <v>22</v>
      </c>
      <c r="D42" t="s">
        <v>23</v>
      </c>
      <c r="E42" t="s">
        <v>33</v>
      </c>
      <c r="F42">
        <v>20</v>
      </c>
      <c r="G42">
        <v>22.3</v>
      </c>
      <c r="H42">
        <v>2.2999999999999998</v>
      </c>
      <c r="I42" t="s">
        <v>26</v>
      </c>
      <c r="J42">
        <v>22.6</v>
      </c>
      <c r="K42">
        <v>2.6</v>
      </c>
      <c r="L42">
        <v>4</v>
      </c>
    </row>
    <row r="43" spans="1:12" x14ac:dyDescent="0.35">
      <c r="A43">
        <v>21</v>
      </c>
      <c r="B43" t="s">
        <v>21</v>
      </c>
      <c r="C43" t="s">
        <v>22</v>
      </c>
      <c r="D43" t="s">
        <v>27</v>
      </c>
      <c r="E43" t="s">
        <v>33</v>
      </c>
      <c r="F43">
        <v>23</v>
      </c>
      <c r="G43">
        <v>25.3</v>
      </c>
      <c r="H43">
        <v>2.2999999999999998</v>
      </c>
      <c r="I43" t="s">
        <v>26</v>
      </c>
      <c r="J43">
        <v>25.8</v>
      </c>
      <c r="K43">
        <v>2.8</v>
      </c>
      <c r="L43">
        <v>4</v>
      </c>
    </row>
    <row r="44" spans="1:12" x14ac:dyDescent="0.35">
      <c r="A44">
        <v>22</v>
      </c>
      <c r="B44" t="s">
        <v>31</v>
      </c>
      <c r="C44" t="s">
        <v>22</v>
      </c>
      <c r="D44" t="s">
        <v>23</v>
      </c>
      <c r="E44" t="s">
        <v>33</v>
      </c>
      <c r="F44">
        <v>18</v>
      </c>
      <c r="G44" t="s">
        <v>149</v>
      </c>
      <c r="H44" t="s">
        <v>149</v>
      </c>
      <c r="I44" t="s">
        <v>26</v>
      </c>
      <c r="J44">
        <v>21</v>
      </c>
      <c r="K44">
        <v>3</v>
      </c>
      <c r="L44">
        <v>4</v>
      </c>
    </row>
    <row r="45" spans="1:12" x14ac:dyDescent="0.35">
      <c r="A45">
        <v>22</v>
      </c>
      <c r="B45" t="s">
        <v>31</v>
      </c>
      <c r="C45" t="s">
        <v>22</v>
      </c>
      <c r="D45" t="s">
        <v>27</v>
      </c>
      <c r="E45" t="s">
        <v>33</v>
      </c>
      <c r="F45">
        <v>21</v>
      </c>
      <c r="G45" t="s">
        <v>149</v>
      </c>
      <c r="H45" t="s">
        <v>149</v>
      </c>
      <c r="I45" t="s">
        <v>26</v>
      </c>
      <c r="J45">
        <v>24.2</v>
      </c>
      <c r="K45">
        <v>3.2</v>
      </c>
      <c r="L45">
        <v>4</v>
      </c>
    </row>
    <row r="46" spans="1:12" x14ac:dyDescent="0.35">
      <c r="A46">
        <v>23</v>
      </c>
      <c r="B46" t="s">
        <v>35</v>
      </c>
      <c r="C46" t="s">
        <v>22</v>
      </c>
      <c r="D46" t="s">
        <v>23</v>
      </c>
      <c r="E46" t="s">
        <v>24</v>
      </c>
      <c r="F46">
        <v>24</v>
      </c>
      <c r="G46" t="s">
        <v>149</v>
      </c>
      <c r="H46" t="s">
        <v>149</v>
      </c>
      <c r="I46" t="s">
        <v>25</v>
      </c>
      <c r="J46" t="s">
        <v>149</v>
      </c>
      <c r="K46" t="s">
        <v>149</v>
      </c>
      <c r="L46">
        <v>4</v>
      </c>
    </row>
    <row r="47" spans="1:12" x14ac:dyDescent="0.35">
      <c r="A47">
        <v>23</v>
      </c>
      <c r="B47" t="s">
        <v>35</v>
      </c>
      <c r="C47" t="s">
        <v>22</v>
      </c>
      <c r="D47" t="s">
        <v>27</v>
      </c>
      <c r="E47" t="s">
        <v>33</v>
      </c>
      <c r="F47">
        <v>19</v>
      </c>
      <c r="G47" t="s">
        <v>149</v>
      </c>
      <c r="H47" t="s">
        <v>149</v>
      </c>
      <c r="I47" t="s">
        <v>25</v>
      </c>
      <c r="J47" t="s">
        <v>149</v>
      </c>
      <c r="K47" t="s">
        <v>149</v>
      </c>
      <c r="L47">
        <v>4</v>
      </c>
    </row>
    <row r="48" spans="1:12" x14ac:dyDescent="0.35">
      <c r="A48">
        <v>24</v>
      </c>
      <c r="B48" t="s">
        <v>37</v>
      </c>
      <c r="C48" t="s">
        <v>22</v>
      </c>
      <c r="D48" t="s">
        <v>23</v>
      </c>
      <c r="E48" t="s">
        <v>33</v>
      </c>
      <c r="F48">
        <v>20</v>
      </c>
      <c r="G48">
        <v>24.9</v>
      </c>
      <c r="H48">
        <v>4.9000000000000004</v>
      </c>
      <c r="I48" t="s">
        <v>32</v>
      </c>
      <c r="J48">
        <v>23.4</v>
      </c>
      <c r="K48">
        <v>3.4</v>
      </c>
      <c r="L48">
        <v>4</v>
      </c>
    </row>
    <row r="49" spans="1:12" x14ac:dyDescent="0.35">
      <c r="A49">
        <v>24</v>
      </c>
      <c r="B49" t="s">
        <v>37</v>
      </c>
      <c r="C49" t="s">
        <v>22</v>
      </c>
      <c r="D49" t="s">
        <v>27</v>
      </c>
      <c r="E49" t="s">
        <v>24</v>
      </c>
      <c r="F49">
        <v>23</v>
      </c>
      <c r="G49">
        <v>27.9</v>
      </c>
      <c r="H49">
        <v>4.9000000000000004</v>
      </c>
      <c r="I49" t="s">
        <v>32</v>
      </c>
      <c r="J49">
        <v>26.8</v>
      </c>
      <c r="K49">
        <v>3.8</v>
      </c>
      <c r="L49">
        <v>4</v>
      </c>
    </row>
    <row r="50" spans="1:12" x14ac:dyDescent="0.35">
      <c r="A50">
        <v>25</v>
      </c>
      <c r="B50" t="s">
        <v>39</v>
      </c>
      <c r="C50" t="s">
        <v>22</v>
      </c>
      <c r="D50" t="s">
        <v>23</v>
      </c>
      <c r="E50" t="s">
        <v>33</v>
      </c>
      <c r="F50">
        <v>22</v>
      </c>
      <c r="G50">
        <v>22.8</v>
      </c>
      <c r="H50">
        <v>0.8</v>
      </c>
      <c r="I50" t="s">
        <v>26</v>
      </c>
      <c r="J50">
        <v>24.2</v>
      </c>
      <c r="K50">
        <v>2.2000000000000002</v>
      </c>
      <c r="L50">
        <v>4</v>
      </c>
    </row>
    <row r="51" spans="1:12" x14ac:dyDescent="0.35">
      <c r="A51">
        <v>25</v>
      </c>
      <c r="B51" t="s">
        <v>39</v>
      </c>
      <c r="C51" t="s">
        <v>22</v>
      </c>
      <c r="D51" t="s">
        <v>27</v>
      </c>
      <c r="E51" t="s">
        <v>33</v>
      </c>
      <c r="F51">
        <v>25</v>
      </c>
      <c r="G51">
        <v>25.8</v>
      </c>
      <c r="H51">
        <v>0.8</v>
      </c>
      <c r="I51" t="s">
        <v>26</v>
      </c>
      <c r="J51">
        <v>27.6</v>
      </c>
      <c r="K51">
        <v>2.6</v>
      </c>
      <c r="L51">
        <v>4</v>
      </c>
    </row>
    <row r="52" spans="1:12" x14ac:dyDescent="0.35">
      <c r="A52">
        <v>26</v>
      </c>
      <c r="B52" t="s">
        <v>41</v>
      </c>
      <c r="C52" t="s">
        <v>22</v>
      </c>
      <c r="D52" t="s">
        <v>23</v>
      </c>
      <c r="E52" t="s">
        <v>24</v>
      </c>
      <c r="F52">
        <v>21</v>
      </c>
      <c r="G52">
        <v>22.4</v>
      </c>
      <c r="H52">
        <v>1.4</v>
      </c>
      <c r="I52" t="s">
        <v>26</v>
      </c>
      <c r="J52">
        <v>23.8</v>
      </c>
      <c r="K52">
        <v>2.8</v>
      </c>
      <c r="L52">
        <v>4</v>
      </c>
    </row>
    <row r="53" spans="1:12" x14ac:dyDescent="0.35">
      <c r="A53">
        <v>26</v>
      </c>
      <c r="B53" t="s">
        <v>41</v>
      </c>
      <c r="C53" t="s">
        <v>22</v>
      </c>
      <c r="D53" t="s">
        <v>27</v>
      </c>
      <c r="E53" t="s">
        <v>33</v>
      </c>
      <c r="F53">
        <v>24</v>
      </c>
      <c r="G53">
        <v>25.4</v>
      </c>
      <c r="H53">
        <v>1.4</v>
      </c>
      <c r="I53" t="s">
        <v>26</v>
      </c>
      <c r="J53">
        <v>27</v>
      </c>
      <c r="K53">
        <v>3</v>
      </c>
      <c r="L53">
        <v>4</v>
      </c>
    </row>
    <row r="54" spans="1:12" x14ac:dyDescent="0.35">
      <c r="A54">
        <v>27</v>
      </c>
      <c r="B54" t="s">
        <v>43</v>
      </c>
      <c r="C54" t="s">
        <v>22</v>
      </c>
      <c r="D54" t="s">
        <v>23</v>
      </c>
      <c r="E54" t="s">
        <v>24</v>
      </c>
      <c r="F54">
        <v>23</v>
      </c>
      <c r="G54">
        <v>25.4</v>
      </c>
      <c r="H54">
        <v>2.4</v>
      </c>
      <c r="I54" t="s">
        <v>26</v>
      </c>
      <c r="J54">
        <v>26.2</v>
      </c>
      <c r="K54">
        <v>3.2</v>
      </c>
      <c r="L54">
        <v>4</v>
      </c>
    </row>
    <row r="55" spans="1:12" x14ac:dyDescent="0.35">
      <c r="A55">
        <v>27</v>
      </c>
      <c r="B55" t="s">
        <v>43</v>
      </c>
      <c r="C55" t="s">
        <v>22</v>
      </c>
      <c r="D55" t="s">
        <v>27</v>
      </c>
      <c r="E55" t="s">
        <v>24</v>
      </c>
      <c r="F55">
        <v>20</v>
      </c>
      <c r="G55">
        <v>22.4</v>
      </c>
      <c r="H55">
        <v>2.4</v>
      </c>
      <c r="I55" t="s">
        <v>26</v>
      </c>
      <c r="J55">
        <v>23.4</v>
      </c>
      <c r="K55">
        <v>3.4</v>
      </c>
      <c r="L55">
        <v>4</v>
      </c>
    </row>
    <row r="56" spans="1:12" x14ac:dyDescent="0.35">
      <c r="A56">
        <v>28</v>
      </c>
      <c r="B56" t="s">
        <v>45</v>
      </c>
      <c r="C56" t="s">
        <v>22</v>
      </c>
      <c r="D56" t="s">
        <v>23</v>
      </c>
      <c r="E56" t="s">
        <v>33</v>
      </c>
      <c r="F56">
        <v>19</v>
      </c>
      <c r="G56">
        <v>22.6</v>
      </c>
      <c r="H56">
        <v>3.6</v>
      </c>
      <c r="I56" t="s">
        <v>26</v>
      </c>
      <c r="J56">
        <v>22.8</v>
      </c>
      <c r="K56">
        <v>3.8</v>
      </c>
      <c r="L56">
        <v>4</v>
      </c>
    </row>
    <row r="57" spans="1:12" x14ac:dyDescent="0.35">
      <c r="A57">
        <v>28</v>
      </c>
      <c r="B57" t="s">
        <v>45</v>
      </c>
      <c r="C57" t="s">
        <v>22</v>
      </c>
      <c r="D57" t="s">
        <v>27</v>
      </c>
      <c r="E57" t="s">
        <v>24</v>
      </c>
      <c r="F57">
        <v>24</v>
      </c>
      <c r="G57">
        <v>27.6</v>
      </c>
      <c r="H57">
        <v>3.6</v>
      </c>
      <c r="I57" t="s">
        <v>26</v>
      </c>
      <c r="J57">
        <v>26.2</v>
      </c>
      <c r="K57">
        <v>2.2000000000000002</v>
      </c>
      <c r="L57">
        <v>4</v>
      </c>
    </row>
    <row r="58" spans="1:12" x14ac:dyDescent="0.35">
      <c r="A58">
        <v>29</v>
      </c>
      <c r="B58" t="s">
        <v>47</v>
      </c>
      <c r="C58" t="s">
        <v>22</v>
      </c>
      <c r="D58" t="s">
        <v>23</v>
      </c>
      <c r="E58" t="s">
        <v>24</v>
      </c>
      <c r="F58">
        <v>22</v>
      </c>
      <c r="G58" t="s">
        <v>149</v>
      </c>
      <c r="H58" t="s">
        <v>149</v>
      </c>
      <c r="I58" t="s">
        <v>25</v>
      </c>
      <c r="J58" t="s">
        <v>149</v>
      </c>
      <c r="K58" t="s">
        <v>149</v>
      </c>
      <c r="L58">
        <v>4</v>
      </c>
    </row>
    <row r="59" spans="1:12" x14ac:dyDescent="0.35">
      <c r="A59">
        <v>29</v>
      </c>
      <c r="B59" t="s">
        <v>47</v>
      </c>
      <c r="C59" t="s">
        <v>22</v>
      </c>
      <c r="D59" t="s">
        <v>27</v>
      </c>
      <c r="E59" t="s">
        <v>33</v>
      </c>
      <c r="F59">
        <v>18</v>
      </c>
      <c r="G59" t="s">
        <v>149</v>
      </c>
      <c r="H59" t="s">
        <v>149</v>
      </c>
      <c r="I59" t="s">
        <v>25</v>
      </c>
      <c r="J59" t="s">
        <v>149</v>
      </c>
      <c r="K59" t="s">
        <v>149</v>
      </c>
      <c r="L59">
        <v>4</v>
      </c>
    </row>
    <row r="60" spans="1:12" x14ac:dyDescent="0.35">
      <c r="A60">
        <v>30</v>
      </c>
      <c r="B60" t="s">
        <v>49</v>
      </c>
      <c r="C60" t="s">
        <v>22</v>
      </c>
      <c r="D60" t="s">
        <v>23</v>
      </c>
      <c r="E60" t="s">
        <v>24</v>
      </c>
      <c r="F60">
        <v>21</v>
      </c>
      <c r="G60">
        <v>21.8</v>
      </c>
      <c r="H60">
        <v>0.8</v>
      </c>
      <c r="I60" t="s">
        <v>26</v>
      </c>
      <c r="J60">
        <v>23.4</v>
      </c>
      <c r="K60">
        <v>2.4</v>
      </c>
      <c r="L60">
        <v>4</v>
      </c>
    </row>
    <row r="61" spans="1:12" x14ac:dyDescent="0.35">
      <c r="A61">
        <v>30</v>
      </c>
      <c r="B61" t="s">
        <v>49</v>
      </c>
      <c r="C61" t="s">
        <v>22</v>
      </c>
      <c r="D61" t="s">
        <v>27</v>
      </c>
      <c r="E61" t="s">
        <v>33</v>
      </c>
      <c r="F61">
        <v>24</v>
      </c>
      <c r="G61">
        <v>24.8</v>
      </c>
      <c r="H61">
        <v>0.8</v>
      </c>
      <c r="I61" t="s">
        <v>26</v>
      </c>
      <c r="J61">
        <v>26.6</v>
      </c>
      <c r="K61">
        <v>2.6</v>
      </c>
      <c r="L61">
        <v>4</v>
      </c>
    </row>
    <row r="62" spans="1:12" x14ac:dyDescent="0.35">
      <c r="A62">
        <v>31</v>
      </c>
      <c r="B62" t="s">
        <v>51</v>
      </c>
      <c r="C62" t="s">
        <v>22</v>
      </c>
      <c r="D62" t="s">
        <v>23</v>
      </c>
      <c r="E62" t="s">
        <v>24</v>
      </c>
      <c r="F62">
        <v>19</v>
      </c>
      <c r="G62" t="s">
        <v>149</v>
      </c>
      <c r="H62" t="s">
        <v>149</v>
      </c>
      <c r="I62" t="s">
        <v>26</v>
      </c>
      <c r="J62">
        <v>21.8</v>
      </c>
      <c r="K62">
        <v>2.8</v>
      </c>
      <c r="L62">
        <v>4</v>
      </c>
    </row>
    <row r="63" spans="1:12" x14ac:dyDescent="0.35">
      <c r="A63">
        <v>31</v>
      </c>
      <c r="B63" t="s">
        <v>51</v>
      </c>
      <c r="C63" t="s">
        <v>22</v>
      </c>
      <c r="D63" t="s">
        <v>27</v>
      </c>
      <c r="E63" t="s">
        <v>24</v>
      </c>
      <c r="F63">
        <v>22</v>
      </c>
      <c r="G63" t="s">
        <v>149</v>
      </c>
      <c r="H63" t="s">
        <v>149</v>
      </c>
      <c r="I63" t="s">
        <v>26</v>
      </c>
      <c r="J63">
        <v>25</v>
      </c>
      <c r="K63">
        <v>3</v>
      </c>
      <c r="L63">
        <v>4</v>
      </c>
    </row>
    <row r="64" spans="1:12" x14ac:dyDescent="0.35">
      <c r="A64">
        <v>32</v>
      </c>
      <c r="B64" t="s">
        <v>53</v>
      </c>
      <c r="C64" t="s">
        <v>22</v>
      </c>
      <c r="D64" t="s">
        <v>23</v>
      </c>
      <c r="E64" t="s">
        <v>24</v>
      </c>
      <c r="F64">
        <v>23</v>
      </c>
      <c r="G64">
        <v>24.7</v>
      </c>
      <c r="H64">
        <v>1.7</v>
      </c>
      <c r="I64" t="s">
        <v>26</v>
      </c>
      <c r="J64">
        <v>26.2</v>
      </c>
      <c r="K64">
        <v>3.2</v>
      </c>
      <c r="L64">
        <v>4</v>
      </c>
    </row>
    <row r="65" spans="1:12" x14ac:dyDescent="0.35">
      <c r="A65">
        <v>32</v>
      </c>
      <c r="B65" t="s">
        <v>53</v>
      </c>
      <c r="C65" t="s">
        <v>22</v>
      </c>
      <c r="D65" t="s">
        <v>27</v>
      </c>
      <c r="E65" t="s">
        <v>24</v>
      </c>
      <c r="F65">
        <v>26</v>
      </c>
      <c r="G65">
        <v>27.7</v>
      </c>
      <c r="H65">
        <v>1.7</v>
      </c>
      <c r="I65" t="s">
        <v>26</v>
      </c>
      <c r="J65">
        <v>29.4</v>
      </c>
      <c r="K65">
        <v>3.4</v>
      </c>
      <c r="L65">
        <v>4</v>
      </c>
    </row>
    <row r="66" spans="1:12" x14ac:dyDescent="0.35">
      <c r="A66">
        <v>33</v>
      </c>
      <c r="B66" t="s">
        <v>55</v>
      </c>
      <c r="C66" t="s">
        <v>22</v>
      </c>
      <c r="D66" t="s">
        <v>23</v>
      </c>
      <c r="E66" t="s">
        <v>33</v>
      </c>
      <c r="F66">
        <v>20</v>
      </c>
      <c r="G66">
        <v>23.1</v>
      </c>
      <c r="H66">
        <v>3.1</v>
      </c>
      <c r="I66" t="s">
        <v>26</v>
      </c>
      <c r="J66">
        <v>23.8</v>
      </c>
      <c r="K66">
        <v>3.8</v>
      </c>
      <c r="L66">
        <v>4</v>
      </c>
    </row>
    <row r="67" spans="1:12" x14ac:dyDescent="0.35">
      <c r="A67">
        <v>33</v>
      </c>
      <c r="B67" t="s">
        <v>55</v>
      </c>
      <c r="C67" t="s">
        <v>22</v>
      </c>
      <c r="D67" t="s">
        <v>27</v>
      </c>
      <c r="E67" t="s">
        <v>33</v>
      </c>
      <c r="F67">
        <v>23</v>
      </c>
      <c r="G67">
        <v>26.1</v>
      </c>
      <c r="H67">
        <v>3.1</v>
      </c>
      <c r="I67" t="s">
        <v>26</v>
      </c>
      <c r="J67">
        <v>25.2</v>
      </c>
      <c r="K67">
        <v>2.2000000000000002</v>
      </c>
      <c r="L67">
        <v>4</v>
      </c>
    </row>
    <row r="68" spans="1:12" x14ac:dyDescent="0.35">
      <c r="A68">
        <v>34</v>
      </c>
      <c r="B68" t="s">
        <v>57</v>
      </c>
      <c r="C68" t="s">
        <v>22</v>
      </c>
      <c r="D68" t="s">
        <v>23</v>
      </c>
      <c r="E68" t="s">
        <v>33</v>
      </c>
      <c r="F68">
        <v>18</v>
      </c>
      <c r="G68" t="s">
        <v>149</v>
      </c>
      <c r="H68" t="s">
        <v>149</v>
      </c>
      <c r="I68" t="s">
        <v>32</v>
      </c>
      <c r="J68">
        <v>20.6</v>
      </c>
      <c r="K68">
        <v>2.6</v>
      </c>
      <c r="L68">
        <v>4</v>
      </c>
    </row>
    <row r="69" spans="1:12" x14ac:dyDescent="0.35">
      <c r="A69">
        <v>34</v>
      </c>
      <c r="B69" t="s">
        <v>57</v>
      </c>
      <c r="C69" t="s">
        <v>22</v>
      </c>
      <c r="D69" t="s">
        <v>27</v>
      </c>
      <c r="E69" t="s">
        <v>33</v>
      </c>
      <c r="F69">
        <v>21</v>
      </c>
      <c r="G69" t="s">
        <v>149</v>
      </c>
      <c r="H69" t="s">
        <v>149</v>
      </c>
      <c r="I69" t="s">
        <v>32</v>
      </c>
      <c r="J69">
        <v>23.8</v>
      </c>
      <c r="K69">
        <v>2.8</v>
      </c>
      <c r="L69">
        <v>4</v>
      </c>
    </row>
    <row r="70" spans="1:12" x14ac:dyDescent="0.35">
      <c r="A70">
        <v>35</v>
      </c>
      <c r="B70" t="s">
        <v>59</v>
      </c>
      <c r="C70" t="s">
        <v>22</v>
      </c>
      <c r="D70" t="s">
        <v>23</v>
      </c>
      <c r="E70" t="s">
        <v>24</v>
      </c>
      <c r="F70">
        <v>24</v>
      </c>
      <c r="G70">
        <v>27.6</v>
      </c>
      <c r="H70">
        <v>3.6</v>
      </c>
      <c r="I70" t="s">
        <v>32</v>
      </c>
      <c r="J70">
        <v>27</v>
      </c>
      <c r="K70">
        <v>3</v>
      </c>
      <c r="L70">
        <v>4</v>
      </c>
    </row>
    <row r="71" spans="1:12" x14ac:dyDescent="0.35">
      <c r="A71">
        <v>35</v>
      </c>
      <c r="B71" t="s">
        <v>59</v>
      </c>
      <c r="C71" t="s">
        <v>22</v>
      </c>
      <c r="D71" t="s">
        <v>27</v>
      </c>
      <c r="E71" t="s">
        <v>33</v>
      </c>
      <c r="F71">
        <v>20</v>
      </c>
      <c r="G71">
        <v>23.6</v>
      </c>
      <c r="H71">
        <v>3.6</v>
      </c>
      <c r="I71" t="s">
        <v>32</v>
      </c>
      <c r="J71">
        <v>23.2</v>
      </c>
      <c r="K71">
        <v>3.2</v>
      </c>
      <c r="L71">
        <v>4</v>
      </c>
    </row>
    <row r="72" spans="1:12" x14ac:dyDescent="0.35">
      <c r="A72">
        <v>36</v>
      </c>
      <c r="B72" t="s">
        <v>61</v>
      </c>
      <c r="C72" t="s">
        <v>22</v>
      </c>
      <c r="D72" t="s">
        <v>23</v>
      </c>
      <c r="E72" t="s">
        <v>33</v>
      </c>
      <c r="F72">
        <v>22</v>
      </c>
      <c r="G72" t="s">
        <v>149</v>
      </c>
      <c r="H72" t="s">
        <v>149</v>
      </c>
      <c r="I72" t="s">
        <v>25</v>
      </c>
      <c r="J72" t="s">
        <v>149</v>
      </c>
      <c r="K72" t="s">
        <v>149</v>
      </c>
      <c r="L72">
        <v>4</v>
      </c>
    </row>
    <row r="73" spans="1:12" x14ac:dyDescent="0.35">
      <c r="A73">
        <v>36</v>
      </c>
      <c r="B73" t="s">
        <v>61</v>
      </c>
      <c r="C73" t="s">
        <v>22</v>
      </c>
      <c r="D73" t="s">
        <v>27</v>
      </c>
      <c r="E73" t="s">
        <v>33</v>
      </c>
      <c r="F73">
        <v>19</v>
      </c>
      <c r="G73" t="s">
        <v>149</v>
      </c>
      <c r="H73" t="s">
        <v>149</v>
      </c>
      <c r="I73" t="s">
        <v>25</v>
      </c>
      <c r="J73" t="s">
        <v>149</v>
      </c>
      <c r="K73" t="s">
        <v>149</v>
      </c>
      <c r="L73">
        <v>4</v>
      </c>
    </row>
    <row r="74" spans="1:12" x14ac:dyDescent="0.35">
      <c r="A74">
        <v>37</v>
      </c>
      <c r="B74" t="s">
        <v>63</v>
      </c>
      <c r="C74" t="s">
        <v>22</v>
      </c>
      <c r="D74" t="s">
        <v>23</v>
      </c>
      <c r="E74" t="s">
        <v>24</v>
      </c>
      <c r="F74">
        <v>21</v>
      </c>
      <c r="G74" t="s">
        <v>149</v>
      </c>
      <c r="H74" t="s">
        <v>149</v>
      </c>
      <c r="I74" t="s">
        <v>32</v>
      </c>
      <c r="J74">
        <v>24.4</v>
      </c>
      <c r="K74">
        <v>3.4</v>
      </c>
      <c r="L74">
        <v>4</v>
      </c>
    </row>
    <row r="75" spans="1:12" x14ac:dyDescent="0.35">
      <c r="A75">
        <v>37</v>
      </c>
      <c r="B75" t="s">
        <v>63</v>
      </c>
      <c r="C75" t="s">
        <v>22</v>
      </c>
      <c r="D75" t="s">
        <v>27</v>
      </c>
      <c r="E75" t="s">
        <v>24</v>
      </c>
      <c r="F75">
        <v>24</v>
      </c>
      <c r="G75" t="s">
        <v>149</v>
      </c>
      <c r="H75" t="s">
        <v>149</v>
      </c>
      <c r="I75" t="s">
        <v>32</v>
      </c>
      <c r="J75">
        <v>27.8</v>
      </c>
      <c r="K75">
        <v>3.8</v>
      </c>
      <c r="L75">
        <v>4</v>
      </c>
    </row>
    <row r="76" spans="1:12" x14ac:dyDescent="0.35">
      <c r="A76">
        <v>38</v>
      </c>
      <c r="B76" t="s">
        <v>65</v>
      </c>
      <c r="C76" t="s">
        <v>22</v>
      </c>
      <c r="D76" t="s">
        <v>23</v>
      </c>
      <c r="E76" t="s">
        <v>24</v>
      </c>
      <c r="F76">
        <v>23</v>
      </c>
      <c r="G76">
        <v>27.6</v>
      </c>
      <c r="H76">
        <v>4.5999999999999996</v>
      </c>
      <c r="I76" t="s">
        <v>26</v>
      </c>
      <c r="J76">
        <v>25.2</v>
      </c>
      <c r="K76">
        <v>2.2000000000000002</v>
      </c>
      <c r="L76">
        <v>4</v>
      </c>
    </row>
    <row r="77" spans="1:12" x14ac:dyDescent="0.35">
      <c r="A77">
        <v>38</v>
      </c>
      <c r="B77" t="s">
        <v>65</v>
      </c>
      <c r="C77" t="s">
        <v>22</v>
      </c>
      <c r="D77" t="s">
        <v>27</v>
      </c>
      <c r="E77" t="s">
        <v>24</v>
      </c>
      <c r="F77">
        <v>20</v>
      </c>
      <c r="G77">
        <v>24.6</v>
      </c>
      <c r="H77">
        <v>4.5999999999999996</v>
      </c>
      <c r="I77" t="s">
        <v>26</v>
      </c>
      <c r="J77">
        <v>22.6</v>
      </c>
      <c r="K77">
        <v>2.6</v>
      </c>
      <c r="L77">
        <v>4</v>
      </c>
    </row>
    <row r="78" spans="1:12" x14ac:dyDescent="0.35">
      <c r="A78">
        <v>39</v>
      </c>
      <c r="B78" t="s">
        <v>67</v>
      </c>
      <c r="C78" t="s">
        <v>22</v>
      </c>
      <c r="D78" t="s">
        <v>23</v>
      </c>
      <c r="E78" t="s">
        <v>24</v>
      </c>
      <c r="F78">
        <v>22</v>
      </c>
      <c r="G78" t="s">
        <v>149</v>
      </c>
      <c r="H78" t="s">
        <v>149</v>
      </c>
      <c r="I78" t="s">
        <v>26</v>
      </c>
      <c r="J78">
        <v>24.8</v>
      </c>
      <c r="K78">
        <v>2.8</v>
      </c>
      <c r="L78">
        <v>4</v>
      </c>
    </row>
    <row r="79" spans="1:12" x14ac:dyDescent="0.35">
      <c r="A79">
        <v>39</v>
      </c>
      <c r="B79" t="s">
        <v>67</v>
      </c>
      <c r="C79" t="s">
        <v>22</v>
      </c>
      <c r="D79" t="s">
        <v>27</v>
      </c>
      <c r="E79" t="s">
        <v>24</v>
      </c>
      <c r="F79">
        <v>25</v>
      </c>
      <c r="G79" t="s">
        <v>149</v>
      </c>
      <c r="H79" t="s">
        <v>149</v>
      </c>
      <c r="I79" t="s">
        <v>26</v>
      </c>
      <c r="J79">
        <v>28</v>
      </c>
      <c r="K79">
        <v>3</v>
      </c>
      <c r="L79">
        <v>4</v>
      </c>
    </row>
    <row r="80" spans="1:12" x14ac:dyDescent="0.35">
      <c r="A80">
        <v>40</v>
      </c>
      <c r="B80" t="s">
        <v>69</v>
      </c>
      <c r="C80" t="s">
        <v>22</v>
      </c>
      <c r="D80" t="s">
        <v>23</v>
      </c>
      <c r="E80" t="s">
        <v>33</v>
      </c>
      <c r="F80">
        <v>19</v>
      </c>
      <c r="G80" t="s">
        <v>149</v>
      </c>
      <c r="H80" t="s">
        <v>149</v>
      </c>
      <c r="I80" t="s">
        <v>26</v>
      </c>
      <c r="J80">
        <v>22.2</v>
      </c>
      <c r="K80">
        <v>3.2</v>
      </c>
      <c r="L80">
        <v>4</v>
      </c>
    </row>
    <row r="81" spans="1:12" x14ac:dyDescent="0.35">
      <c r="A81">
        <v>40</v>
      </c>
      <c r="B81" t="s">
        <v>69</v>
      </c>
      <c r="C81" t="s">
        <v>22</v>
      </c>
      <c r="D81" t="s">
        <v>27</v>
      </c>
      <c r="E81" t="s">
        <v>33</v>
      </c>
      <c r="F81">
        <v>22</v>
      </c>
      <c r="G81" t="s">
        <v>149</v>
      </c>
      <c r="H81" t="s">
        <v>149</v>
      </c>
      <c r="I81" t="s">
        <v>26</v>
      </c>
      <c r="J81">
        <v>25.4</v>
      </c>
      <c r="K81">
        <v>3.4</v>
      </c>
      <c r="L81">
        <v>4</v>
      </c>
    </row>
    <row r="82" spans="1:12" x14ac:dyDescent="0.35">
      <c r="A82">
        <v>41</v>
      </c>
      <c r="B82" t="s">
        <v>21</v>
      </c>
      <c r="C82" t="s">
        <v>91</v>
      </c>
      <c r="D82" t="s">
        <v>23</v>
      </c>
      <c r="E82" t="s">
        <v>33</v>
      </c>
      <c r="F82">
        <v>20</v>
      </c>
      <c r="G82" t="s">
        <v>149</v>
      </c>
      <c r="H82" t="s">
        <v>149</v>
      </c>
      <c r="I82" t="s">
        <v>25</v>
      </c>
      <c r="J82" t="s">
        <v>149</v>
      </c>
      <c r="K82" t="s">
        <v>149</v>
      </c>
      <c r="L82">
        <v>4</v>
      </c>
    </row>
    <row r="83" spans="1:12" x14ac:dyDescent="0.35">
      <c r="A83">
        <v>41</v>
      </c>
      <c r="B83" t="s">
        <v>21</v>
      </c>
      <c r="C83" t="s">
        <v>91</v>
      </c>
      <c r="D83" t="s">
        <v>27</v>
      </c>
      <c r="E83" t="s">
        <v>33</v>
      </c>
      <c r="F83">
        <v>23</v>
      </c>
      <c r="G83" t="s">
        <v>149</v>
      </c>
      <c r="H83" t="s">
        <v>149</v>
      </c>
      <c r="I83" t="s">
        <v>25</v>
      </c>
      <c r="J83" t="s">
        <v>149</v>
      </c>
      <c r="K83" t="s">
        <v>149</v>
      </c>
      <c r="L83">
        <v>4</v>
      </c>
    </row>
    <row r="84" spans="1:12" x14ac:dyDescent="0.35">
      <c r="A84">
        <v>42</v>
      </c>
      <c r="B84" t="s">
        <v>31</v>
      </c>
      <c r="C84" t="s">
        <v>91</v>
      </c>
      <c r="D84" t="s">
        <v>23</v>
      </c>
      <c r="E84" t="s">
        <v>33</v>
      </c>
      <c r="F84">
        <v>22</v>
      </c>
      <c r="G84">
        <v>26</v>
      </c>
      <c r="H84">
        <v>4</v>
      </c>
      <c r="I84" t="s">
        <v>26</v>
      </c>
      <c r="J84">
        <v>25.8</v>
      </c>
      <c r="K84">
        <v>3.8</v>
      </c>
      <c r="L84">
        <v>4</v>
      </c>
    </row>
    <row r="85" spans="1:12" x14ac:dyDescent="0.35">
      <c r="A85">
        <v>42</v>
      </c>
      <c r="B85" t="s">
        <v>31</v>
      </c>
      <c r="C85" t="s">
        <v>91</v>
      </c>
      <c r="D85" t="s">
        <v>27</v>
      </c>
      <c r="E85" t="s">
        <v>24</v>
      </c>
      <c r="F85">
        <v>25</v>
      </c>
      <c r="G85">
        <v>29</v>
      </c>
      <c r="H85">
        <v>4</v>
      </c>
      <c r="I85" t="s">
        <v>26</v>
      </c>
      <c r="J85">
        <v>27.2</v>
      </c>
      <c r="K85">
        <v>2.2000000000000002</v>
      </c>
      <c r="L85">
        <v>4</v>
      </c>
    </row>
    <row r="86" spans="1:12" x14ac:dyDescent="0.35">
      <c r="A86">
        <v>43</v>
      </c>
      <c r="B86" t="s">
        <v>35</v>
      </c>
      <c r="C86" t="s">
        <v>91</v>
      </c>
      <c r="D86" t="s">
        <v>23</v>
      </c>
      <c r="E86" t="s">
        <v>24</v>
      </c>
      <c r="F86">
        <v>21</v>
      </c>
      <c r="G86" t="s">
        <v>149</v>
      </c>
      <c r="H86" t="s">
        <v>149</v>
      </c>
      <c r="I86" t="s">
        <v>26</v>
      </c>
      <c r="J86">
        <v>23.6</v>
      </c>
      <c r="K86">
        <v>2.6</v>
      </c>
      <c r="L86">
        <v>4</v>
      </c>
    </row>
    <row r="87" spans="1:12" x14ac:dyDescent="0.35">
      <c r="A87">
        <v>43</v>
      </c>
      <c r="B87" t="s">
        <v>35</v>
      </c>
      <c r="C87" t="s">
        <v>91</v>
      </c>
      <c r="D87" t="s">
        <v>27</v>
      </c>
      <c r="E87" t="s">
        <v>33</v>
      </c>
      <c r="F87">
        <v>24</v>
      </c>
      <c r="G87" t="s">
        <v>149</v>
      </c>
      <c r="H87" t="s">
        <v>149</v>
      </c>
      <c r="I87" t="s">
        <v>26</v>
      </c>
      <c r="J87">
        <v>26.8</v>
      </c>
      <c r="K87">
        <v>2.8</v>
      </c>
      <c r="L87">
        <v>4</v>
      </c>
    </row>
    <row r="88" spans="1:12" x14ac:dyDescent="0.35">
      <c r="A88">
        <v>44</v>
      </c>
      <c r="B88" t="s">
        <v>37</v>
      </c>
      <c r="C88" t="s">
        <v>91</v>
      </c>
      <c r="D88" t="s">
        <v>23</v>
      </c>
      <c r="E88" t="s">
        <v>33</v>
      </c>
      <c r="F88">
        <v>19</v>
      </c>
      <c r="G88" t="s">
        <v>149</v>
      </c>
      <c r="H88" t="s">
        <v>149</v>
      </c>
      <c r="I88" t="s">
        <v>26</v>
      </c>
      <c r="J88">
        <v>22</v>
      </c>
      <c r="K88">
        <v>3</v>
      </c>
      <c r="L88">
        <v>4</v>
      </c>
    </row>
    <row r="89" spans="1:12" x14ac:dyDescent="0.35">
      <c r="A89">
        <v>44</v>
      </c>
      <c r="B89" t="s">
        <v>37</v>
      </c>
      <c r="C89" t="s">
        <v>91</v>
      </c>
      <c r="D89" t="s">
        <v>27</v>
      </c>
      <c r="E89" t="s">
        <v>33</v>
      </c>
      <c r="F89">
        <v>22</v>
      </c>
      <c r="G89" t="s">
        <v>149</v>
      </c>
      <c r="H89" t="s">
        <v>149</v>
      </c>
      <c r="I89" t="s">
        <v>26</v>
      </c>
      <c r="J89">
        <v>25.2</v>
      </c>
      <c r="K89">
        <v>3.2</v>
      </c>
      <c r="L89">
        <v>4</v>
      </c>
    </row>
    <row r="90" spans="1:12" x14ac:dyDescent="0.35">
      <c r="A90">
        <v>45</v>
      </c>
      <c r="B90" t="s">
        <v>39</v>
      </c>
      <c r="C90" t="s">
        <v>91</v>
      </c>
      <c r="D90" t="s">
        <v>23</v>
      </c>
      <c r="E90" t="s">
        <v>24</v>
      </c>
      <c r="F90">
        <v>23</v>
      </c>
      <c r="G90">
        <v>27.3</v>
      </c>
      <c r="H90">
        <v>4.3</v>
      </c>
      <c r="I90" t="s">
        <v>25</v>
      </c>
      <c r="J90" t="s">
        <v>149</v>
      </c>
      <c r="K90" t="s">
        <v>149</v>
      </c>
      <c r="L90">
        <v>4</v>
      </c>
    </row>
    <row r="91" spans="1:12" x14ac:dyDescent="0.35">
      <c r="A91">
        <v>45</v>
      </c>
      <c r="B91" t="s">
        <v>39</v>
      </c>
      <c r="C91" t="s">
        <v>91</v>
      </c>
      <c r="D91" t="s">
        <v>27</v>
      </c>
      <c r="E91" t="s">
        <v>24</v>
      </c>
      <c r="F91">
        <v>20</v>
      </c>
      <c r="G91">
        <v>24.3</v>
      </c>
      <c r="H91">
        <v>4.3</v>
      </c>
      <c r="I91" t="s">
        <v>25</v>
      </c>
      <c r="J91" t="s">
        <v>149</v>
      </c>
      <c r="K91" t="s">
        <v>149</v>
      </c>
      <c r="L91">
        <v>4</v>
      </c>
    </row>
    <row r="92" spans="1:12" x14ac:dyDescent="0.35">
      <c r="A92">
        <v>46</v>
      </c>
      <c r="B92" t="s">
        <v>41</v>
      </c>
      <c r="C92" t="s">
        <v>91</v>
      </c>
      <c r="D92" t="s">
        <v>23</v>
      </c>
      <c r="E92" t="s">
        <v>24</v>
      </c>
      <c r="F92">
        <v>25</v>
      </c>
      <c r="G92">
        <v>28.7</v>
      </c>
      <c r="H92">
        <v>3.7</v>
      </c>
      <c r="I92" t="s">
        <v>26</v>
      </c>
      <c r="J92">
        <v>28.4</v>
      </c>
      <c r="K92">
        <v>3.4</v>
      </c>
      <c r="L92">
        <v>4</v>
      </c>
    </row>
    <row r="93" spans="1:12" x14ac:dyDescent="0.35">
      <c r="A93">
        <v>46</v>
      </c>
      <c r="B93" t="s">
        <v>41</v>
      </c>
      <c r="C93" t="s">
        <v>91</v>
      </c>
      <c r="D93" t="s">
        <v>27</v>
      </c>
      <c r="E93" t="s">
        <v>33</v>
      </c>
      <c r="F93">
        <v>21</v>
      </c>
      <c r="G93">
        <v>24.7</v>
      </c>
      <c r="H93">
        <v>3.7</v>
      </c>
      <c r="I93" t="s">
        <v>26</v>
      </c>
      <c r="J93">
        <v>24.8</v>
      </c>
      <c r="K93">
        <v>3.8</v>
      </c>
      <c r="L93">
        <v>4</v>
      </c>
    </row>
    <row r="94" spans="1:12" x14ac:dyDescent="0.35">
      <c r="A94">
        <v>47</v>
      </c>
      <c r="B94" t="s">
        <v>43</v>
      </c>
      <c r="C94" t="s">
        <v>91</v>
      </c>
      <c r="D94" t="s">
        <v>23</v>
      </c>
      <c r="E94" t="s">
        <v>24</v>
      </c>
      <c r="F94">
        <v>22</v>
      </c>
      <c r="G94">
        <v>22.9</v>
      </c>
      <c r="H94">
        <v>0.9</v>
      </c>
      <c r="I94" t="s">
        <v>26</v>
      </c>
      <c r="J94">
        <v>24.2</v>
      </c>
      <c r="K94">
        <v>2.2000000000000002</v>
      </c>
      <c r="L94">
        <v>4</v>
      </c>
    </row>
    <row r="95" spans="1:12" x14ac:dyDescent="0.35">
      <c r="A95">
        <v>47</v>
      </c>
      <c r="B95" t="s">
        <v>43</v>
      </c>
      <c r="C95" t="s">
        <v>91</v>
      </c>
      <c r="D95" t="s">
        <v>27</v>
      </c>
      <c r="E95" t="s">
        <v>33</v>
      </c>
      <c r="F95">
        <v>19</v>
      </c>
      <c r="G95">
        <v>19.899999999999999</v>
      </c>
      <c r="H95">
        <v>0.9</v>
      </c>
      <c r="I95" t="s">
        <v>26</v>
      </c>
      <c r="J95">
        <v>21.6</v>
      </c>
      <c r="K95">
        <v>2.6</v>
      </c>
      <c r="L95">
        <v>4</v>
      </c>
    </row>
    <row r="96" spans="1:12" x14ac:dyDescent="0.35">
      <c r="A96">
        <v>48</v>
      </c>
      <c r="B96" t="s">
        <v>45</v>
      </c>
      <c r="C96" t="s">
        <v>91</v>
      </c>
      <c r="D96" t="s">
        <v>23</v>
      </c>
      <c r="E96" t="s">
        <v>24</v>
      </c>
      <c r="F96">
        <v>24</v>
      </c>
      <c r="G96">
        <v>25.7</v>
      </c>
      <c r="H96">
        <v>1.7</v>
      </c>
      <c r="I96" t="s">
        <v>26</v>
      </c>
      <c r="J96">
        <v>26.8</v>
      </c>
      <c r="K96">
        <v>2.8</v>
      </c>
      <c r="L96">
        <v>4</v>
      </c>
    </row>
    <row r="97" spans="1:12" x14ac:dyDescent="0.35">
      <c r="A97">
        <v>48</v>
      </c>
      <c r="B97" t="s">
        <v>45</v>
      </c>
      <c r="C97" t="s">
        <v>91</v>
      </c>
      <c r="D97" t="s">
        <v>27</v>
      </c>
      <c r="E97" t="s">
        <v>33</v>
      </c>
      <c r="F97">
        <v>21</v>
      </c>
      <c r="G97">
        <v>22.7</v>
      </c>
      <c r="H97">
        <v>1.7</v>
      </c>
      <c r="I97" t="s">
        <v>26</v>
      </c>
      <c r="J97">
        <v>24</v>
      </c>
      <c r="K97">
        <v>3</v>
      </c>
      <c r="L97">
        <v>4</v>
      </c>
    </row>
    <row r="98" spans="1:12" x14ac:dyDescent="0.35">
      <c r="A98">
        <v>49</v>
      </c>
      <c r="B98" t="s">
        <v>47</v>
      </c>
      <c r="C98" t="s">
        <v>91</v>
      </c>
      <c r="D98" t="s">
        <v>23</v>
      </c>
      <c r="E98" t="s">
        <v>24</v>
      </c>
      <c r="F98">
        <v>20</v>
      </c>
      <c r="G98">
        <v>24.9</v>
      </c>
      <c r="H98">
        <v>4.9000000000000004</v>
      </c>
      <c r="I98" t="s">
        <v>26</v>
      </c>
      <c r="J98">
        <v>23.2</v>
      </c>
      <c r="K98">
        <v>3.2</v>
      </c>
      <c r="L98">
        <v>4</v>
      </c>
    </row>
    <row r="99" spans="1:12" x14ac:dyDescent="0.35">
      <c r="A99">
        <v>49</v>
      </c>
      <c r="B99" t="s">
        <v>47</v>
      </c>
      <c r="C99" t="s">
        <v>91</v>
      </c>
      <c r="D99" t="s">
        <v>27</v>
      </c>
      <c r="E99" t="s">
        <v>33</v>
      </c>
      <c r="F99">
        <v>23</v>
      </c>
      <c r="G99">
        <v>27.9</v>
      </c>
      <c r="H99">
        <v>4.9000000000000004</v>
      </c>
      <c r="I99" t="s">
        <v>26</v>
      </c>
      <c r="J99">
        <v>26.4</v>
      </c>
      <c r="K99">
        <v>3.4</v>
      </c>
      <c r="L99">
        <v>4</v>
      </c>
    </row>
    <row r="100" spans="1:12" x14ac:dyDescent="0.35">
      <c r="A100">
        <v>50</v>
      </c>
      <c r="B100" t="s">
        <v>49</v>
      </c>
      <c r="C100" t="s">
        <v>91</v>
      </c>
      <c r="D100" t="s">
        <v>23</v>
      </c>
      <c r="E100" t="s">
        <v>33</v>
      </c>
      <c r="F100">
        <v>18</v>
      </c>
      <c r="G100">
        <v>19.7</v>
      </c>
      <c r="H100">
        <v>1.7</v>
      </c>
      <c r="I100" t="s">
        <v>26</v>
      </c>
      <c r="J100">
        <v>21.8</v>
      </c>
      <c r="K100">
        <v>3.8</v>
      </c>
      <c r="L100">
        <v>4</v>
      </c>
    </row>
    <row r="101" spans="1:12" x14ac:dyDescent="0.35">
      <c r="A101">
        <v>50</v>
      </c>
      <c r="B101" t="s">
        <v>49</v>
      </c>
      <c r="C101" t="s">
        <v>91</v>
      </c>
      <c r="D101" t="s">
        <v>27</v>
      </c>
      <c r="E101" t="s">
        <v>24</v>
      </c>
      <c r="F101">
        <v>24</v>
      </c>
      <c r="G101">
        <v>25.7</v>
      </c>
      <c r="H101">
        <v>1.7</v>
      </c>
      <c r="I101" t="s">
        <v>26</v>
      </c>
      <c r="J101">
        <v>26.2</v>
      </c>
      <c r="K101">
        <v>2.2000000000000002</v>
      </c>
      <c r="L101">
        <v>4</v>
      </c>
    </row>
    <row r="102" spans="1:12" x14ac:dyDescent="0.35">
      <c r="A102">
        <v>51</v>
      </c>
      <c r="B102" t="s">
        <v>51</v>
      </c>
      <c r="C102" t="s">
        <v>91</v>
      </c>
      <c r="D102" t="s">
        <v>23</v>
      </c>
      <c r="E102" t="s">
        <v>33</v>
      </c>
      <c r="F102">
        <v>21</v>
      </c>
      <c r="G102">
        <v>26</v>
      </c>
      <c r="H102">
        <v>5</v>
      </c>
      <c r="I102" t="s">
        <v>25</v>
      </c>
      <c r="J102" t="s">
        <v>149</v>
      </c>
      <c r="K102" t="s">
        <v>149</v>
      </c>
      <c r="L102">
        <v>4</v>
      </c>
    </row>
    <row r="103" spans="1:12" x14ac:dyDescent="0.35">
      <c r="A103">
        <v>51</v>
      </c>
      <c r="B103" t="s">
        <v>51</v>
      </c>
      <c r="C103" t="s">
        <v>91</v>
      </c>
      <c r="D103" t="s">
        <v>27</v>
      </c>
      <c r="E103" t="s">
        <v>24</v>
      </c>
      <c r="F103">
        <v>24</v>
      </c>
      <c r="G103">
        <v>29</v>
      </c>
      <c r="H103">
        <v>5</v>
      </c>
      <c r="I103" t="s">
        <v>25</v>
      </c>
      <c r="J103" t="s">
        <v>149</v>
      </c>
      <c r="K103" t="s">
        <v>149</v>
      </c>
      <c r="L103">
        <v>4</v>
      </c>
    </row>
    <row r="104" spans="1:12" x14ac:dyDescent="0.35">
      <c r="A104">
        <v>52</v>
      </c>
      <c r="B104" t="s">
        <v>53</v>
      </c>
      <c r="C104" t="s">
        <v>91</v>
      </c>
      <c r="D104" t="s">
        <v>23</v>
      </c>
      <c r="E104" t="s">
        <v>33</v>
      </c>
      <c r="F104">
        <v>19</v>
      </c>
      <c r="G104">
        <v>20.9</v>
      </c>
      <c r="H104">
        <v>1.9</v>
      </c>
      <c r="I104" t="s">
        <v>32</v>
      </c>
      <c r="J104">
        <v>21.6</v>
      </c>
      <c r="K104">
        <v>2.6</v>
      </c>
      <c r="L104">
        <v>4</v>
      </c>
    </row>
    <row r="105" spans="1:12" x14ac:dyDescent="0.35">
      <c r="A105">
        <v>52</v>
      </c>
      <c r="B105" t="s">
        <v>53</v>
      </c>
      <c r="C105" t="s">
        <v>91</v>
      </c>
      <c r="D105" t="s">
        <v>27</v>
      </c>
      <c r="E105" t="s">
        <v>24</v>
      </c>
      <c r="F105">
        <v>22</v>
      </c>
      <c r="G105">
        <v>23.9</v>
      </c>
      <c r="H105">
        <v>1.9</v>
      </c>
      <c r="I105" t="s">
        <v>32</v>
      </c>
      <c r="J105">
        <v>24.8</v>
      </c>
      <c r="K105">
        <v>2.8</v>
      </c>
      <c r="L105">
        <v>4</v>
      </c>
    </row>
    <row r="106" spans="1:12" x14ac:dyDescent="0.35">
      <c r="A106">
        <v>53</v>
      </c>
      <c r="B106" t="s">
        <v>55</v>
      </c>
      <c r="C106" t="s">
        <v>91</v>
      </c>
      <c r="D106" t="s">
        <v>23</v>
      </c>
      <c r="E106" t="s">
        <v>33</v>
      </c>
      <c r="F106">
        <v>23</v>
      </c>
      <c r="G106">
        <v>24.7</v>
      </c>
      <c r="H106">
        <v>1.7</v>
      </c>
      <c r="I106" t="s">
        <v>32</v>
      </c>
      <c r="J106">
        <v>26</v>
      </c>
      <c r="K106">
        <v>3</v>
      </c>
      <c r="L106">
        <v>4</v>
      </c>
    </row>
    <row r="107" spans="1:12" x14ac:dyDescent="0.35">
      <c r="A107">
        <v>53</v>
      </c>
      <c r="B107" t="s">
        <v>55</v>
      </c>
      <c r="C107" t="s">
        <v>91</v>
      </c>
      <c r="D107" t="s">
        <v>27</v>
      </c>
      <c r="E107" t="s">
        <v>24</v>
      </c>
      <c r="F107">
        <v>20</v>
      </c>
      <c r="G107">
        <v>21.7</v>
      </c>
      <c r="H107">
        <v>1.7</v>
      </c>
      <c r="I107" t="s">
        <v>32</v>
      </c>
      <c r="J107">
        <v>23.2</v>
      </c>
      <c r="K107">
        <v>3.2</v>
      </c>
      <c r="L107">
        <v>4</v>
      </c>
    </row>
    <row r="108" spans="1:12" x14ac:dyDescent="0.35">
      <c r="A108">
        <v>54</v>
      </c>
      <c r="B108" t="s">
        <v>57</v>
      </c>
      <c r="C108" t="s">
        <v>91</v>
      </c>
      <c r="D108" t="s">
        <v>23</v>
      </c>
      <c r="E108" t="s">
        <v>33</v>
      </c>
      <c r="F108">
        <v>18</v>
      </c>
      <c r="G108">
        <v>19.5</v>
      </c>
      <c r="H108">
        <v>1.5</v>
      </c>
      <c r="I108" t="s">
        <v>32</v>
      </c>
      <c r="J108">
        <v>21.4</v>
      </c>
      <c r="K108">
        <v>3.4</v>
      </c>
      <c r="L108">
        <v>4</v>
      </c>
    </row>
    <row r="109" spans="1:12" x14ac:dyDescent="0.35">
      <c r="A109">
        <v>54</v>
      </c>
      <c r="B109" t="s">
        <v>57</v>
      </c>
      <c r="C109" t="s">
        <v>91</v>
      </c>
      <c r="D109" t="s">
        <v>27</v>
      </c>
      <c r="E109" t="s">
        <v>33</v>
      </c>
      <c r="F109">
        <v>24</v>
      </c>
      <c r="G109">
        <v>25.5</v>
      </c>
      <c r="H109">
        <v>1.5</v>
      </c>
      <c r="I109" t="s">
        <v>32</v>
      </c>
      <c r="J109">
        <v>27.8</v>
      </c>
      <c r="K109">
        <v>3.8</v>
      </c>
      <c r="L109">
        <v>4</v>
      </c>
    </row>
    <row r="110" spans="1:12" x14ac:dyDescent="0.35">
      <c r="A110">
        <v>55</v>
      </c>
      <c r="B110" t="s">
        <v>59</v>
      </c>
      <c r="C110" t="s">
        <v>91</v>
      </c>
      <c r="D110" t="s">
        <v>23</v>
      </c>
      <c r="E110" t="s">
        <v>24</v>
      </c>
      <c r="F110">
        <v>22</v>
      </c>
      <c r="G110">
        <v>24.6</v>
      </c>
      <c r="H110">
        <v>2.6</v>
      </c>
      <c r="I110" t="s">
        <v>32</v>
      </c>
      <c r="J110">
        <v>24.2</v>
      </c>
      <c r="K110">
        <v>2.2000000000000002</v>
      </c>
      <c r="L110">
        <v>4</v>
      </c>
    </row>
    <row r="111" spans="1:12" x14ac:dyDescent="0.35">
      <c r="A111">
        <v>55</v>
      </c>
      <c r="B111" t="s">
        <v>59</v>
      </c>
      <c r="C111" t="s">
        <v>91</v>
      </c>
      <c r="D111" t="s">
        <v>27</v>
      </c>
      <c r="E111" t="s">
        <v>33</v>
      </c>
      <c r="F111">
        <v>25</v>
      </c>
      <c r="G111">
        <v>27.6</v>
      </c>
      <c r="H111">
        <v>2.6</v>
      </c>
      <c r="I111" t="s">
        <v>32</v>
      </c>
      <c r="J111">
        <v>27.6</v>
      </c>
      <c r="K111">
        <v>2.6</v>
      </c>
      <c r="L111">
        <v>4</v>
      </c>
    </row>
    <row r="112" spans="1:12" x14ac:dyDescent="0.35">
      <c r="A112">
        <v>56</v>
      </c>
      <c r="B112" t="s">
        <v>61</v>
      </c>
      <c r="C112" t="s">
        <v>91</v>
      </c>
      <c r="D112" t="s">
        <v>23</v>
      </c>
      <c r="E112" t="s">
        <v>24</v>
      </c>
      <c r="F112">
        <v>24</v>
      </c>
      <c r="G112">
        <v>25.2</v>
      </c>
      <c r="H112">
        <v>1.2</v>
      </c>
      <c r="I112" t="s">
        <v>26</v>
      </c>
      <c r="J112">
        <v>26.8</v>
      </c>
      <c r="K112">
        <v>2.8</v>
      </c>
      <c r="L112">
        <v>4</v>
      </c>
    </row>
    <row r="113" spans="1:12" x14ac:dyDescent="0.35">
      <c r="A113">
        <v>56</v>
      </c>
      <c r="B113" t="s">
        <v>61</v>
      </c>
      <c r="C113" t="s">
        <v>91</v>
      </c>
      <c r="D113" t="s">
        <v>27</v>
      </c>
      <c r="E113" t="s">
        <v>24</v>
      </c>
      <c r="F113">
        <v>21</v>
      </c>
      <c r="G113">
        <v>22.2</v>
      </c>
      <c r="H113">
        <v>1.2</v>
      </c>
      <c r="I113" t="s">
        <v>26</v>
      </c>
      <c r="J113">
        <v>24</v>
      </c>
      <c r="K113">
        <v>3</v>
      </c>
      <c r="L113">
        <v>4</v>
      </c>
    </row>
    <row r="114" spans="1:12" x14ac:dyDescent="0.35">
      <c r="A114">
        <v>57</v>
      </c>
      <c r="B114" t="s">
        <v>63</v>
      </c>
      <c r="C114" t="s">
        <v>91</v>
      </c>
      <c r="D114" t="s">
        <v>23</v>
      </c>
      <c r="E114" t="s">
        <v>24</v>
      </c>
      <c r="F114">
        <v>20</v>
      </c>
      <c r="G114" t="s">
        <v>149</v>
      </c>
      <c r="H114" t="s">
        <v>149</v>
      </c>
      <c r="I114" t="s">
        <v>26</v>
      </c>
      <c r="J114">
        <v>23.2</v>
      </c>
      <c r="K114">
        <v>3.2</v>
      </c>
      <c r="L114">
        <v>4</v>
      </c>
    </row>
    <row r="115" spans="1:12" x14ac:dyDescent="0.35">
      <c r="A115">
        <v>57</v>
      </c>
      <c r="B115" t="s">
        <v>63</v>
      </c>
      <c r="C115" t="s">
        <v>91</v>
      </c>
      <c r="D115" t="s">
        <v>27</v>
      </c>
      <c r="E115" t="s">
        <v>24</v>
      </c>
      <c r="F115">
        <v>23</v>
      </c>
      <c r="G115" t="s">
        <v>149</v>
      </c>
      <c r="H115" t="s">
        <v>149</v>
      </c>
      <c r="I115" t="s">
        <v>26</v>
      </c>
      <c r="J115">
        <v>26.4</v>
      </c>
      <c r="K115">
        <v>3.4</v>
      </c>
      <c r="L115">
        <v>4</v>
      </c>
    </row>
    <row r="116" spans="1:12" x14ac:dyDescent="0.35">
      <c r="A116">
        <v>58</v>
      </c>
      <c r="B116" t="s">
        <v>65</v>
      </c>
      <c r="C116" t="s">
        <v>91</v>
      </c>
      <c r="D116" t="s">
        <v>23</v>
      </c>
      <c r="E116" t="s">
        <v>24</v>
      </c>
      <c r="F116">
        <v>22</v>
      </c>
      <c r="G116" t="s">
        <v>149</v>
      </c>
      <c r="H116" t="s">
        <v>149</v>
      </c>
      <c r="I116" t="s">
        <v>32</v>
      </c>
      <c r="J116">
        <v>25.8</v>
      </c>
      <c r="K116">
        <v>3.8</v>
      </c>
      <c r="L116">
        <v>4</v>
      </c>
    </row>
    <row r="117" spans="1:12" x14ac:dyDescent="0.35">
      <c r="A117">
        <v>58</v>
      </c>
      <c r="B117" t="s">
        <v>65</v>
      </c>
      <c r="C117" t="s">
        <v>91</v>
      </c>
      <c r="D117" t="s">
        <v>27</v>
      </c>
      <c r="E117" t="s">
        <v>24</v>
      </c>
      <c r="F117">
        <v>25</v>
      </c>
      <c r="G117" t="s">
        <v>149</v>
      </c>
      <c r="H117" t="s">
        <v>149</v>
      </c>
      <c r="I117" t="s">
        <v>32</v>
      </c>
      <c r="J117">
        <v>27.2</v>
      </c>
      <c r="K117">
        <v>2.2000000000000002</v>
      </c>
      <c r="L117">
        <v>4</v>
      </c>
    </row>
    <row r="118" spans="1:12" x14ac:dyDescent="0.35">
      <c r="A118">
        <v>59</v>
      </c>
      <c r="B118" t="s">
        <v>67</v>
      </c>
      <c r="C118" t="s">
        <v>91</v>
      </c>
      <c r="D118" t="s">
        <v>23</v>
      </c>
      <c r="E118" t="s">
        <v>24</v>
      </c>
      <c r="F118">
        <v>19</v>
      </c>
      <c r="G118">
        <v>22.6</v>
      </c>
      <c r="H118">
        <v>3.6</v>
      </c>
      <c r="I118" t="s">
        <v>26</v>
      </c>
      <c r="J118">
        <v>21.6</v>
      </c>
      <c r="K118">
        <v>2.6</v>
      </c>
      <c r="L118">
        <v>4</v>
      </c>
    </row>
    <row r="119" spans="1:12" x14ac:dyDescent="0.35">
      <c r="A119">
        <v>59</v>
      </c>
      <c r="B119" t="s">
        <v>67</v>
      </c>
      <c r="C119" t="s">
        <v>91</v>
      </c>
      <c r="D119" t="s">
        <v>27</v>
      </c>
      <c r="E119" t="s">
        <v>24</v>
      </c>
      <c r="F119">
        <v>22</v>
      </c>
      <c r="G119">
        <v>25.6</v>
      </c>
      <c r="H119">
        <v>3.6</v>
      </c>
      <c r="I119" t="s">
        <v>26</v>
      </c>
      <c r="J119">
        <v>24.8</v>
      </c>
      <c r="K119">
        <v>2.8</v>
      </c>
      <c r="L119">
        <v>4</v>
      </c>
    </row>
    <row r="120" spans="1:12" x14ac:dyDescent="0.35">
      <c r="A120">
        <v>60</v>
      </c>
      <c r="B120" t="s">
        <v>69</v>
      </c>
      <c r="C120" t="s">
        <v>91</v>
      </c>
      <c r="D120" t="s">
        <v>23</v>
      </c>
      <c r="E120" t="s">
        <v>33</v>
      </c>
      <c r="F120">
        <v>21</v>
      </c>
      <c r="G120">
        <v>24.5</v>
      </c>
      <c r="H120">
        <v>3.5</v>
      </c>
      <c r="I120" t="s">
        <v>25</v>
      </c>
      <c r="J120" t="s">
        <v>149</v>
      </c>
      <c r="K120" t="s">
        <v>149</v>
      </c>
      <c r="L120">
        <v>4</v>
      </c>
    </row>
    <row r="121" spans="1:12" x14ac:dyDescent="0.35">
      <c r="A121">
        <v>60</v>
      </c>
      <c r="B121" t="s">
        <v>69</v>
      </c>
      <c r="C121" t="s">
        <v>91</v>
      </c>
      <c r="D121" t="s">
        <v>27</v>
      </c>
      <c r="E121" t="s">
        <v>24</v>
      </c>
      <c r="F121">
        <v>24</v>
      </c>
      <c r="G121">
        <v>27.5</v>
      </c>
      <c r="H121">
        <v>3.5</v>
      </c>
      <c r="I121" t="s">
        <v>25</v>
      </c>
      <c r="J121" t="s">
        <v>149</v>
      </c>
      <c r="K121" t="s">
        <v>149</v>
      </c>
      <c r="L121">
        <v>4</v>
      </c>
    </row>
    <row r="122" spans="1:12" x14ac:dyDescent="0.35">
      <c r="A122">
        <v>61</v>
      </c>
      <c r="B122" t="s">
        <v>21</v>
      </c>
      <c r="C122" t="s">
        <v>91</v>
      </c>
      <c r="D122" t="s">
        <v>23</v>
      </c>
      <c r="E122" t="s">
        <v>33</v>
      </c>
      <c r="F122">
        <v>23</v>
      </c>
      <c r="G122" t="s">
        <v>149</v>
      </c>
      <c r="H122" t="s">
        <v>149</v>
      </c>
      <c r="I122" t="s">
        <v>32</v>
      </c>
      <c r="J122">
        <v>26</v>
      </c>
      <c r="K122">
        <v>3</v>
      </c>
      <c r="L122">
        <v>4</v>
      </c>
    </row>
    <row r="123" spans="1:12" x14ac:dyDescent="0.35">
      <c r="A123">
        <v>61</v>
      </c>
      <c r="B123" t="s">
        <v>21</v>
      </c>
      <c r="C123" t="s">
        <v>91</v>
      </c>
      <c r="D123" t="s">
        <v>27</v>
      </c>
      <c r="E123" t="s">
        <v>33</v>
      </c>
      <c r="F123">
        <v>20</v>
      </c>
      <c r="G123" t="s">
        <v>149</v>
      </c>
      <c r="H123" t="s">
        <v>149</v>
      </c>
      <c r="I123" t="s">
        <v>32</v>
      </c>
      <c r="J123">
        <v>23.2</v>
      </c>
      <c r="K123">
        <v>3.2</v>
      </c>
      <c r="L123">
        <v>4</v>
      </c>
    </row>
    <row r="124" spans="1:12" x14ac:dyDescent="0.35">
      <c r="A124">
        <v>62</v>
      </c>
      <c r="B124" t="s">
        <v>31</v>
      </c>
      <c r="C124" t="s">
        <v>91</v>
      </c>
      <c r="D124" t="s">
        <v>23</v>
      </c>
      <c r="E124" t="s">
        <v>33</v>
      </c>
      <c r="F124">
        <v>21</v>
      </c>
      <c r="G124">
        <v>25.4</v>
      </c>
      <c r="H124">
        <v>4.4000000000000004</v>
      </c>
      <c r="I124" t="s">
        <v>26</v>
      </c>
      <c r="J124">
        <v>24.4</v>
      </c>
      <c r="K124">
        <v>3.4</v>
      </c>
      <c r="L124">
        <v>4</v>
      </c>
    </row>
    <row r="125" spans="1:12" x14ac:dyDescent="0.35">
      <c r="A125">
        <v>62</v>
      </c>
      <c r="B125" t="s">
        <v>31</v>
      </c>
      <c r="C125" t="s">
        <v>91</v>
      </c>
      <c r="D125" t="s">
        <v>27</v>
      </c>
      <c r="E125" t="s">
        <v>24</v>
      </c>
      <c r="F125">
        <v>24</v>
      </c>
      <c r="G125">
        <v>28.4</v>
      </c>
      <c r="H125">
        <v>4.4000000000000004</v>
      </c>
      <c r="I125" t="s">
        <v>26</v>
      </c>
      <c r="J125">
        <v>27.8</v>
      </c>
      <c r="K125">
        <v>3.8</v>
      </c>
      <c r="L125">
        <v>4</v>
      </c>
    </row>
    <row r="126" spans="1:12" x14ac:dyDescent="0.35">
      <c r="A126">
        <v>63</v>
      </c>
      <c r="B126" t="s">
        <v>35</v>
      </c>
      <c r="C126" t="s">
        <v>91</v>
      </c>
      <c r="D126" t="s">
        <v>23</v>
      </c>
      <c r="E126" t="s">
        <v>24</v>
      </c>
      <c r="F126">
        <v>22</v>
      </c>
      <c r="G126">
        <v>26.7</v>
      </c>
      <c r="H126">
        <v>4.7</v>
      </c>
      <c r="I126" t="s">
        <v>26</v>
      </c>
      <c r="J126">
        <v>24.2</v>
      </c>
      <c r="K126">
        <v>2.2000000000000002</v>
      </c>
      <c r="L126">
        <v>4</v>
      </c>
    </row>
    <row r="127" spans="1:12" x14ac:dyDescent="0.35">
      <c r="A127">
        <v>63</v>
      </c>
      <c r="B127" t="s">
        <v>35</v>
      </c>
      <c r="C127" t="s">
        <v>91</v>
      </c>
      <c r="D127" t="s">
        <v>27</v>
      </c>
      <c r="E127" t="s">
        <v>33</v>
      </c>
      <c r="F127">
        <v>19</v>
      </c>
      <c r="G127">
        <v>23.7</v>
      </c>
      <c r="H127">
        <v>4.7</v>
      </c>
      <c r="I127" t="s">
        <v>26</v>
      </c>
      <c r="J127">
        <v>21.6</v>
      </c>
      <c r="K127">
        <v>2.6</v>
      </c>
      <c r="L127">
        <v>4</v>
      </c>
    </row>
    <row r="128" spans="1:12" x14ac:dyDescent="0.35">
      <c r="A128">
        <v>64</v>
      </c>
      <c r="B128" t="s">
        <v>37</v>
      </c>
      <c r="C128" t="s">
        <v>91</v>
      </c>
      <c r="D128" t="s">
        <v>23</v>
      </c>
      <c r="E128" t="s">
        <v>24</v>
      </c>
      <c r="F128">
        <v>20</v>
      </c>
      <c r="G128" t="s">
        <v>149</v>
      </c>
      <c r="H128" t="s">
        <v>149</v>
      </c>
      <c r="I128" t="s">
        <v>25</v>
      </c>
      <c r="J128" t="s">
        <v>149</v>
      </c>
      <c r="K128" t="s">
        <v>149</v>
      </c>
      <c r="L128">
        <v>4</v>
      </c>
    </row>
    <row r="129" spans="1:12" x14ac:dyDescent="0.35">
      <c r="A129">
        <v>64</v>
      </c>
      <c r="B129" t="s">
        <v>37</v>
      </c>
      <c r="C129" t="s">
        <v>91</v>
      </c>
      <c r="D129" t="s">
        <v>27</v>
      </c>
      <c r="E129" t="s">
        <v>33</v>
      </c>
      <c r="F129">
        <v>23</v>
      </c>
      <c r="G129" t="s">
        <v>149</v>
      </c>
      <c r="H129" t="s">
        <v>149</v>
      </c>
      <c r="I129" t="s">
        <v>25</v>
      </c>
      <c r="J129" t="s">
        <v>149</v>
      </c>
      <c r="K129" t="s">
        <v>149</v>
      </c>
      <c r="L129">
        <v>4</v>
      </c>
    </row>
    <row r="130" spans="1:12" x14ac:dyDescent="0.35">
      <c r="A130">
        <v>65</v>
      </c>
      <c r="B130" t="s">
        <v>39</v>
      </c>
      <c r="C130" t="s">
        <v>91</v>
      </c>
      <c r="D130" t="s">
        <v>23</v>
      </c>
      <c r="E130" t="s">
        <v>24</v>
      </c>
      <c r="F130">
        <v>24</v>
      </c>
      <c r="G130">
        <v>28.6</v>
      </c>
      <c r="H130">
        <v>4.5999999999999996</v>
      </c>
      <c r="I130" t="s">
        <v>26</v>
      </c>
      <c r="J130">
        <v>26.8</v>
      </c>
      <c r="K130">
        <v>2.8</v>
      </c>
      <c r="L130">
        <v>4</v>
      </c>
    </row>
    <row r="131" spans="1:12" x14ac:dyDescent="0.35">
      <c r="A131">
        <v>65</v>
      </c>
      <c r="B131" t="s">
        <v>39</v>
      </c>
      <c r="C131" t="s">
        <v>91</v>
      </c>
      <c r="D131" t="s">
        <v>27</v>
      </c>
      <c r="E131" t="s">
        <v>33</v>
      </c>
      <c r="F131">
        <v>21</v>
      </c>
      <c r="G131">
        <v>25.6</v>
      </c>
      <c r="H131">
        <v>4.5999999999999996</v>
      </c>
      <c r="I131" t="s">
        <v>26</v>
      </c>
      <c r="J131">
        <v>24</v>
      </c>
      <c r="K131">
        <v>3</v>
      </c>
      <c r="L131">
        <v>4</v>
      </c>
    </row>
    <row r="132" spans="1:12" x14ac:dyDescent="0.35">
      <c r="A132">
        <v>66</v>
      </c>
      <c r="B132" t="s">
        <v>41</v>
      </c>
      <c r="C132" t="s">
        <v>91</v>
      </c>
      <c r="D132" t="s">
        <v>23</v>
      </c>
      <c r="E132" t="s">
        <v>24</v>
      </c>
      <c r="F132">
        <v>19</v>
      </c>
      <c r="G132">
        <v>19.600000000000001</v>
      </c>
      <c r="H132">
        <v>0.6</v>
      </c>
      <c r="I132" t="s">
        <v>26</v>
      </c>
      <c r="J132">
        <v>22.2</v>
      </c>
      <c r="K132">
        <v>3.2</v>
      </c>
      <c r="L132">
        <v>4</v>
      </c>
    </row>
    <row r="133" spans="1:12" x14ac:dyDescent="0.35">
      <c r="A133">
        <v>66</v>
      </c>
      <c r="B133" t="s">
        <v>41</v>
      </c>
      <c r="C133" t="s">
        <v>91</v>
      </c>
      <c r="D133" t="s">
        <v>27</v>
      </c>
      <c r="E133" t="s">
        <v>33</v>
      </c>
      <c r="F133">
        <v>22</v>
      </c>
      <c r="G133">
        <v>22.6</v>
      </c>
      <c r="H133">
        <v>0.6</v>
      </c>
      <c r="I133" t="s">
        <v>26</v>
      </c>
      <c r="J133">
        <v>25.4</v>
      </c>
      <c r="K133">
        <v>3.4</v>
      </c>
      <c r="L133">
        <v>4</v>
      </c>
    </row>
    <row r="134" spans="1:12" x14ac:dyDescent="0.35">
      <c r="A134">
        <v>67</v>
      </c>
      <c r="B134" t="s">
        <v>43</v>
      </c>
      <c r="C134" t="s">
        <v>91</v>
      </c>
      <c r="D134" t="s">
        <v>23</v>
      </c>
      <c r="E134" t="s">
        <v>24</v>
      </c>
      <c r="F134">
        <v>23</v>
      </c>
      <c r="G134">
        <v>25.2</v>
      </c>
      <c r="H134">
        <v>2.2000000000000002</v>
      </c>
      <c r="I134" t="s">
        <v>26</v>
      </c>
      <c r="J134">
        <v>26.8</v>
      </c>
      <c r="K134">
        <v>3.8</v>
      </c>
      <c r="L134">
        <v>4</v>
      </c>
    </row>
    <row r="135" spans="1:12" x14ac:dyDescent="0.35">
      <c r="A135">
        <v>67</v>
      </c>
      <c r="B135" t="s">
        <v>43</v>
      </c>
      <c r="C135" t="s">
        <v>91</v>
      </c>
      <c r="D135" t="s">
        <v>27</v>
      </c>
      <c r="E135" t="s">
        <v>33</v>
      </c>
      <c r="F135">
        <v>20</v>
      </c>
      <c r="G135">
        <v>22.2</v>
      </c>
      <c r="H135">
        <v>2.2000000000000002</v>
      </c>
      <c r="I135" t="s">
        <v>26</v>
      </c>
      <c r="J135">
        <v>22.2</v>
      </c>
      <c r="K135">
        <v>2.2000000000000002</v>
      </c>
      <c r="L135">
        <v>4</v>
      </c>
    </row>
    <row r="136" spans="1:12" x14ac:dyDescent="0.35">
      <c r="A136">
        <v>68</v>
      </c>
      <c r="B136" t="s">
        <v>45</v>
      </c>
      <c r="C136" t="s">
        <v>91</v>
      </c>
      <c r="D136" t="s">
        <v>23</v>
      </c>
      <c r="E136" t="s">
        <v>24</v>
      </c>
      <c r="F136">
        <v>21</v>
      </c>
      <c r="G136" t="s">
        <v>149</v>
      </c>
      <c r="H136" t="s">
        <v>149</v>
      </c>
      <c r="I136" t="s">
        <v>32</v>
      </c>
      <c r="J136">
        <v>23.6</v>
      </c>
      <c r="K136">
        <v>2.6</v>
      </c>
      <c r="L136">
        <v>4</v>
      </c>
    </row>
    <row r="137" spans="1:12" x14ac:dyDescent="0.35">
      <c r="A137">
        <v>68</v>
      </c>
      <c r="B137" t="s">
        <v>45</v>
      </c>
      <c r="C137" t="s">
        <v>91</v>
      </c>
      <c r="D137" t="s">
        <v>27</v>
      </c>
      <c r="E137" t="s">
        <v>33</v>
      </c>
      <c r="F137">
        <v>24</v>
      </c>
      <c r="G137" t="s">
        <v>149</v>
      </c>
      <c r="H137" t="s">
        <v>149</v>
      </c>
      <c r="I137" t="s">
        <v>32</v>
      </c>
      <c r="J137">
        <v>26.8</v>
      </c>
      <c r="K137">
        <v>2.8</v>
      </c>
      <c r="L137">
        <v>4</v>
      </c>
    </row>
    <row r="138" spans="1:12" x14ac:dyDescent="0.35">
      <c r="A138">
        <v>69</v>
      </c>
      <c r="B138" t="s">
        <v>47</v>
      </c>
      <c r="C138" t="s">
        <v>91</v>
      </c>
      <c r="D138" t="s">
        <v>23</v>
      </c>
      <c r="E138" t="s">
        <v>24</v>
      </c>
      <c r="F138">
        <v>22</v>
      </c>
      <c r="G138" t="s">
        <v>149</v>
      </c>
      <c r="H138" t="s">
        <v>149</v>
      </c>
      <c r="I138" t="s">
        <v>26</v>
      </c>
      <c r="J138">
        <v>25</v>
      </c>
      <c r="K138">
        <v>3</v>
      </c>
      <c r="L138">
        <v>4</v>
      </c>
    </row>
    <row r="139" spans="1:12" x14ac:dyDescent="0.35">
      <c r="A139">
        <v>69</v>
      </c>
      <c r="B139" t="s">
        <v>47</v>
      </c>
      <c r="C139" t="s">
        <v>91</v>
      </c>
      <c r="D139" t="s">
        <v>27</v>
      </c>
      <c r="E139" t="s">
        <v>24</v>
      </c>
      <c r="F139">
        <v>19</v>
      </c>
      <c r="G139" t="s">
        <v>149</v>
      </c>
      <c r="H139" t="s">
        <v>149</v>
      </c>
      <c r="I139" t="s">
        <v>26</v>
      </c>
      <c r="J139">
        <v>22.2</v>
      </c>
      <c r="K139">
        <v>3.2</v>
      </c>
      <c r="L139">
        <v>4</v>
      </c>
    </row>
    <row r="140" spans="1:12" x14ac:dyDescent="0.35">
      <c r="A140">
        <v>70</v>
      </c>
      <c r="B140" t="s">
        <v>49</v>
      </c>
      <c r="C140" t="s">
        <v>91</v>
      </c>
      <c r="D140" t="s">
        <v>23</v>
      </c>
      <c r="E140" t="s">
        <v>24</v>
      </c>
      <c r="F140">
        <v>24</v>
      </c>
      <c r="G140">
        <v>28.3</v>
      </c>
      <c r="H140">
        <v>4.3</v>
      </c>
      <c r="I140" t="s">
        <v>26</v>
      </c>
      <c r="J140">
        <v>27.4</v>
      </c>
      <c r="K140">
        <v>3.4</v>
      </c>
      <c r="L140">
        <v>4</v>
      </c>
    </row>
    <row r="141" spans="1:12" x14ac:dyDescent="0.35">
      <c r="A141">
        <v>70</v>
      </c>
      <c r="B141" t="s">
        <v>49</v>
      </c>
      <c r="C141" t="s">
        <v>91</v>
      </c>
      <c r="D141" t="s">
        <v>27</v>
      </c>
      <c r="E141" t="s">
        <v>24</v>
      </c>
      <c r="F141">
        <v>21</v>
      </c>
      <c r="G141">
        <v>25.3</v>
      </c>
      <c r="H141">
        <v>4.3</v>
      </c>
      <c r="I141" t="s">
        <v>26</v>
      </c>
      <c r="J141">
        <v>24.8</v>
      </c>
      <c r="K141">
        <v>3.8</v>
      </c>
      <c r="L141">
        <v>4</v>
      </c>
    </row>
    <row r="142" spans="1:12" x14ac:dyDescent="0.35">
      <c r="A142">
        <v>71</v>
      </c>
      <c r="B142" t="s">
        <v>51</v>
      </c>
      <c r="C142" t="s">
        <v>91</v>
      </c>
      <c r="D142" t="s">
        <v>23</v>
      </c>
      <c r="E142" t="s">
        <v>24</v>
      </c>
      <c r="F142">
        <v>20</v>
      </c>
      <c r="G142">
        <v>21</v>
      </c>
      <c r="H142">
        <v>1</v>
      </c>
      <c r="I142" t="s">
        <v>32</v>
      </c>
      <c r="J142">
        <v>22.2</v>
      </c>
      <c r="K142">
        <v>2.2000000000000002</v>
      </c>
      <c r="L142">
        <v>4</v>
      </c>
    </row>
    <row r="143" spans="1:12" x14ac:dyDescent="0.35">
      <c r="A143">
        <v>71</v>
      </c>
      <c r="B143" t="s">
        <v>51</v>
      </c>
      <c r="C143" t="s">
        <v>91</v>
      </c>
      <c r="D143" t="s">
        <v>27</v>
      </c>
      <c r="E143" t="s">
        <v>24</v>
      </c>
      <c r="F143">
        <v>23</v>
      </c>
      <c r="G143">
        <v>24</v>
      </c>
      <c r="H143">
        <v>1</v>
      </c>
      <c r="I143" t="s">
        <v>32</v>
      </c>
      <c r="J143">
        <v>25.6</v>
      </c>
      <c r="K143">
        <v>2.6</v>
      </c>
      <c r="L143">
        <v>4</v>
      </c>
    </row>
    <row r="144" spans="1:12" x14ac:dyDescent="0.35">
      <c r="A144">
        <v>72</v>
      </c>
      <c r="B144" t="s">
        <v>53</v>
      </c>
      <c r="C144" t="s">
        <v>91</v>
      </c>
      <c r="D144" t="s">
        <v>23</v>
      </c>
      <c r="E144" t="s">
        <v>24</v>
      </c>
      <c r="F144">
        <v>22</v>
      </c>
      <c r="G144" t="s">
        <v>149</v>
      </c>
      <c r="H144" t="s">
        <v>149</v>
      </c>
      <c r="I144" t="s">
        <v>32</v>
      </c>
      <c r="J144">
        <v>24.8</v>
      </c>
      <c r="K144">
        <v>2.8</v>
      </c>
      <c r="L144">
        <v>4</v>
      </c>
    </row>
    <row r="145" spans="1:12" x14ac:dyDescent="0.35">
      <c r="A145">
        <v>72</v>
      </c>
      <c r="B145" t="s">
        <v>53</v>
      </c>
      <c r="C145" t="s">
        <v>91</v>
      </c>
      <c r="D145" t="s">
        <v>27</v>
      </c>
      <c r="E145" t="s">
        <v>33</v>
      </c>
      <c r="F145">
        <v>19</v>
      </c>
      <c r="G145" t="s">
        <v>149</v>
      </c>
      <c r="H145" t="s">
        <v>149</v>
      </c>
      <c r="I145" t="s">
        <v>32</v>
      </c>
      <c r="J145">
        <v>22</v>
      </c>
      <c r="K145">
        <v>3</v>
      </c>
      <c r="L145">
        <v>4</v>
      </c>
    </row>
    <row r="146" spans="1:12" x14ac:dyDescent="0.35">
      <c r="A146">
        <v>73</v>
      </c>
      <c r="B146" t="s">
        <v>55</v>
      </c>
      <c r="C146" t="s">
        <v>91</v>
      </c>
      <c r="D146" t="s">
        <v>23</v>
      </c>
      <c r="E146" t="s">
        <v>33</v>
      </c>
      <c r="F146">
        <v>21</v>
      </c>
      <c r="G146" t="s">
        <v>149</v>
      </c>
      <c r="H146" t="s">
        <v>149</v>
      </c>
      <c r="I146" t="s">
        <v>26</v>
      </c>
      <c r="J146">
        <v>24.2</v>
      </c>
      <c r="K146">
        <v>3.2</v>
      </c>
      <c r="L146">
        <v>4</v>
      </c>
    </row>
    <row r="147" spans="1:12" x14ac:dyDescent="0.35">
      <c r="A147">
        <v>73</v>
      </c>
      <c r="B147" t="s">
        <v>55</v>
      </c>
      <c r="C147" t="s">
        <v>91</v>
      </c>
      <c r="D147" t="s">
        <v>27</v>
      </c>
      <c r="E147" t="s">
        <v>33</v>
      </c>
      <c r="F147">
        <v>24</v>
      </c>
      <c r="G147" t="s">
        <v>149</v>
      </c>
      <c r="H147" t="s">
        <v>149</v>
      </c>
      <c r="I147" t="s">
        <v>26</v>
      </c>
      <c r="J147">
        <v>27.4</v>
      </c>
      <c r="K147">
        <v>3.4</v>
      </c>
      <c r="L147">
        <v>4</v>
      </c>
    </row>
    <row r="148" spans="1:12" x14ac:dyDescent="0.35">
      <c r="A148">
        <v>74</v>
      </c>
      <c r="B148" t="s">
        <v>57</v>
      </c>
      <c r="C148" t="s">
        <v>91</v>
      </c>
      <c r="D148" t="s">
        <v>23</v>
      </c>
      <c r="E148" t="s">
        <v>33</v>
      </c>
      <c r="F148">
        <v>23</v>
      </c>
      <c r="G148" t="s">
        <v>149</v>
      </c>
      <c r="H148" t="s">
        <v>149</v>
      </c>
      <c r="I148" t="s">
        <v>26</v>
      </c>
      <c r="J148">
        <v>26.8</v>
      </c>
      <c r="K148">
        <v>3.8</v>
      </c>
      <c r="L148">
        <v>4</v>
      </c>
    </row>
    <row r="149" spans="1:12" x14ac:dyDescent="0.35">
      <c r="A149">
        <v>74</v>
      </c>
      <c r="B149" t="s">
        <v>57</v>
      </c>
      <c r="C149" t="s">
        <v>91</v>
      </c>
      <c r="D149" t="s">
        <v>27</v>
      </c>
      <c r="E149" t="s">
        <v>24</v>
      </c>
      <c r="F149">
        <v>20</v>
      </c>
      <c r="G149" t="s">
        <v>149</v>
      </c>
      <c r="H149" t="s">
        <v>149</v>
      </c>
      <c r="I149" t="s">
        <v>26</v>
      </c>
      <c r="J149">
        <v>22.2</v>
      </c>
      <c r="K149">
        <v>2.2000000000000002</v>
      </c>
      <c r="L149">
        <v>4</v>
      </c>
    </row>
    <row r="150" spans="1:12" x14ac:dyDescent="0.35">
      <c r="A150">
        <v>75</v>
      </c>
      <c r="B150" t="s">
        <v>59</v>
      </c>
      <c r="C150" t="s">
        <v>91</v>
      </c>
      <c r="D150" t="s">
        <v>23</v>
      </c>
      <c r="E150" t="s">
        <v>24</v>
      </c>
      <c r="F150">
        <v>19</v>
      </c>
      <c r="G150" t="s">
        <v>149</v>
      </c>
      <c r="H150" t="s">
        <v>149</v>
      </c>
      <c r="I150" t="s">
        <v>26</v>
      </c>
      <c r="J150">
        <v>21.6</v>
      </c>
      <c r="K150">
        <v>2.6</v>
      </c>
      <c r="L150">
        <v>4</v>
      </c>
    </row>
    <row r="151" spans="1:12" x14ac:dyDescent="0.35">
      <c r="A151">
        <v>75</v>
      </c>
      <c r="B151" t="s">
        <v>59</v>
      </c>
      <c r="C151" t="s">
        <v>91</v>
      </c>
      <c r="D151" t="s">
        <v>27</v>
      </c>
      <c r="E151" t="s">
        <v>33</v>
      </c>
      <c r="F151">
        <v>22</v>
      </c>
      <c r="G151" t="s">
        <v>149</v>
      </c>
      <c r="H151" t="s">
        <v>149</v>
      </c>
      <c r="I151" t="s">
        <v>26</v>
      </c>
      <c r="J151">
        <v>24.8</v>
      </c>
      <c r="K151">
        <v>2.8</v>
      </c>
      <c r="L151">
        <v>4</v>
      </c>
    </row>
    <row r="152" spans="1:12" x14ac:dyDescent="0.35">
      <c r="A152">
        <v>76</v>
      </c>
      <c r="B152" t="s">
        <v>61</v>
      </c>
      <c r="C152" t="s">
        <v>91</v>
      </c>
      <c r="D152" t="s">
        <v>23</v>
      </c>
      <c r="E152" t="s">
        <v>24</v>
      </c>
      <c r="F152">
        <v>24</v>
      </c>
      <c r="G152">
        <v>27.7</v>
      </c>
      <c r="H152">
        <v>3.7</v>
      </c>
      <c r="I152" t="s">
        <v>26</v>
      </c>
      <c r="J152">
        <v>27</v>
      </c>
      <c r="K152">
        <v>3</v>
      </c>
      <c r="L152">
        <v>4</v>
      </c>
    </row>
    <row r="153" spans="1:12" x14ac:dyDescent="0.35">
      <c r="A153">
        <v>76</v>
      </c>
      <c r="B153" t="s">
        <v>61</v>
      </c>
      <c r="C153" t="s">
        <v>91</v>
      </c>
      <c r="D153" t="s">
        <v>27</v>
      </c>
      <c r="E153" t="s">
        <v>24</v>
      </c>
      <c r="F153">
        <v>21</v>
      </c>
      <c r="G153">
        <v>24.7</v>
      </c>
      <c r="H153">
        <v>3.7</v>
      </c>
      <c r="I153" t="s">
        <v>26</v>
      </c>
      <c r="J153">
        <v>24.2</v>
      </c>
      <c r="K153">
        <v>3.2</v>
      </c>
      <c r="L153">
        <v>4</v>
      </c>
    </row>
    <row r="154" spans="1:12" x14ac:dyDescent="0.35">
      <c r="A154">
        <v>77</v>
      </c>
      <c r="B154" t="s">
        <v>63</v>
      </c>
      <c r="C154" t="s">
        <v>91</v>
      </c>
      <c r="D154" t="s">
        <v>23</v>
      </c>
      <c r="E154" t="s">
        <v>33</v>
      </c>
      <c r="F154">
        <v>22</v>
      </c>
      <c r="G154" t="s">
        <v>149</v>
      </c>
      <c r="H154" t="s">
        <v>149</v>
      </c>
      <c r="I154" t="s">
        <v>26</v>
      </c>
      <c r="J154">
        <v>25.4</v>
      </c>
      <c r="K154">
        <v>3.4</v>
      </c>
      <c r="L154">
        <v>4</v>
      </c>
    </row>
    <row r="155" spans="1:12" x14ac:dyDescent="0.35">
      <c r="A155">
        <v>77</v>
      </c>
      <c r="B155" t="s">
        <v>63</v>
      </c>
      <c r="C155" t="s">
        <v>91</v>
      </c>
      <c r="D155" t="s">
        <v>27</v>
      </c>
      <c r="E155" t="s">
        <v>24</v>
      </c>
      <c r="F155">
        <v>25</v>
      </c>
      <c r="G155" t="s">
        <v>149</v>
      </c>
      <c r="H155" t="s">
        <v>149</v>
      </c>
      <c r="I155" t="s">
        <v>26</v>
      </c>
      <c r="J155">
        <v>28.8</v>
      </c>
      <c r="K155">
        <v>3.8</v>
      </c>
      <c r="L155">
        <v>4</v>
      </c>
    </row>
    <row r="156" spans="1:12" x14ac:dyDescent="0.35">
      <c r="A156">
        <v>78</v>
      </c>
      <c r="B156" t="s">
        <v>65</v>
      </c>
      <c r="C156" t="s">
        <v>91</v>
      </c>
      <c r="D156" t="s">
        <v>23</v>
      </c>
      <c r="E156" t="s">
        <v>24</v>
      </c>
      <c r="F156">
        <v>20</v>
      </c>
      <c r="G156" t="s">
        <v>149</v>
      </c>
      <c r="H156" t="s">
        <v>149</v>
      </c>
      <c r="I156" t="s">
        <v>26</v>
      </c>
      <c r="J156">
        <v>22.2</v>
      </c>
      <c r="K156">
        <v>2.2000000000000002</v>
      </c>
      <c r="L156">
        <v>4</v>
      </c>
    </row>
    <row r="157" spans="1:12" x14ac:dyDescent="0.35">
      <c r="A157">
        <v>78</v>
      </c>
      <c r="B157" t="s">
        <v>65</v>
      </c>
      <c r="C157" t="s">
        <v>91</v>
      </c>
      <c r="D157" t="s">
        <v>27</v>
      </c>
      <c r="E157" t="s">
        <v>24</v>
      </c>
      <c r="F157">
        <v>23</v>
      </c>
      <c r="G157" t="s">
        <v>149</v>
      </c>
      <c r="H157" t="s">
        <v>149</v>
      </c>
      <c r="I157" t="s">
        <v>26</v>
      </c>
      <c r="J157">
        <v>25.6</v>
      </c>
      <c r="K157">
        <v>2.6</v>
      </c>
      <c r="L157">
        <v>4</v>
      </c>
    </row>
    <row r="158" spans="1:12" x14ac:dyDescent="0.35">
      <c r="A158">
        <v>79</v>
      </c>
      <c r="B158" t="s">
        <v>67</v>
      </c>
      <c r="C158" t="s">
        <v>91</v>
      </c>
      <c r="D158" t="s">
        <v>23</v>
      </c>
      <c r="E158" t="s">
        <v>33</v>
      </c>
      <c r="F158">
        <v>21</v>
      </c>
      <c r="G158">
        <v>22.3</v>
      </c>
      <c r="H158">
        <v>1.3</v>
      </c>
      <c r="I158" t="s">
        <v>32</v>
      </c>
      <c r="J158">
        <v>23.8</v>
      </c>
      <c r="K158">
        <v>2.8</v>
      </c>
      <c r="L158">
        <v>4</v>
      </c>
    </row>
    <row r="159" spans="1:12" x14ac:dyDescent="0.35">
      <c r="A159">
        <v>79</v>
      </c>
      <c r="B159" t="s">
        <v>67</v>
      </c>
      <c r="C159" t="s">
        <v>91</v>
      </c>
      <c r="D159" t="s">
        <v>27</v>
      </c>
      <c r="E159" t="s">
        <v>33</v>
      </c>
      <c r="F159">
        <v>24</v>
      </c>
      <c r="G159">
        <v>25.3</v>
      </c>
      <c r="H159">
        <v>1.3</v>
      </c>
      <c r="I159" t="s">
        <v>32</v>
      </c>
      <c r="J159">
        <v>27</v>
      </c>
      <c r="K159">
        <v>3</v>
      </c>
      <c r="L159">
        <v>4</v>
      </c>
    </row>
    <row r="160" spans="1:12" x14ac:dyDescent="0.35">
      <c r="A160">
        <v>80</v>
      </c>
      <c r="B160" t="s">
        <v>69</v>
      </c>
      <c r="C160" t="s">
        <v>91</v>
      </c>
      <c r="D160" t="s">
        <v>23</v>
      </c>
      <c r="E160" t="s">
        <v>33</v>
      </c>
      <c r="F160">
        <v>22</v>
      </c>
      <c r="G160">
        <v>23.6</v>
      </c>
      <c r="H160">
        <v>1.6</v>
      </c>
      <c r="I160" t="s">
        <v>32</v>
      </c>
      <c r="J160">
        <v>25.2</v>
      </c>
      <c r="K160">
        <v>3.2</v>
      </c>
      <c r="L160">
        <v>4</v>
      </c>
    </row>
    <row r="161" spans="1:12" x14ac:dyDescent="0.35">
      <c r="A161">
        <v>80</v>
      </c>
      <c r="B161" t="s">
        <v>69</v>
      </c>
      <c r="C161" t="s">
        <v>91</v>
      </c>
      <c r="D161" t="s">
        <v>27</v>
      </c>
      <c r="E161" t="s">
        <v>33</v>
      </c>
      <c r="F161">
        <v>19</v>
      </c>
      <c r="G161">
        <v>20.6</v>
      </c>
      <c r="H161">
        <v>1.6</v>
      </c>
      <c r="I161" t="s">
        <v>32</v>
      </c>
      <c r="J161">
        <v>22.4</v>
      </c>
      <c r="K161">
        <v>3.4</v>
      </c>
      <c r="L161">
        <v>4</v>
      </c>
    </row>
    <row r="162" spans="1:12" x14ac:dyDescent="0.35">
      <c r="A162">
        <v>81</v>
      </c>
      <c r="B162" t="s">
        <v>21</v>
      </c>
      <c r="C162" t="s">
        <v>113</v>
      </c>
      <c r="D162" t="s">
        <v>23</v>
      </c>
      <c r="E162" t="s">
        <v>24</v>
      </c>
      <c r="F162">
        <v>23</v>
      </c>
      <c r="G162" t="s">
        <v>149</v>
      </c>
      <c r="H162" t="s">
        <v>149</v>
      </c>
      <c r="I162" t="s">
        <v>26</v>
      </c>
      <c r="J162">
        <v>26.8</v>
      </c>
      <c r="K162">
        <v>3.8</v>
      </c>
      <c r="L162">
        <v>4</v>
      </c>
    </row>
    <row r="163" spans="1:12" x14ac:dyDescent="0.35">
      <c r="A163">
        <v>81</v>
      </c>
      <c r="B163" t="s">
        <v>21</v>
      </c>
      <c r="C163" t="s">
        <v>113</v>
      </c>
      <c r="D163" t="s">
        <v>27</v>
      </c>
      <c r="E163" t="s">
        <v>24</v>
      </c>
      <c r="F163">
        <v>20</v>
      </c>
      <c r="G163" t="s">
        <v>149</v>
      </c>
      <c r="H163" t="s">
        <v>149</v>
      </c>
      <c r="I163" t="s">
        <v>26</v>
      </c>
      <c r="J163">
        <v>22.2</v>
      </c>
      <c r="K163">
        <v>2.2000000000000002</v>
      </c>
      <c r="L163">
        <v>4</v>
      </c>
    </row>
    <row r="164" spans="1:12" x14ac:dyDescent="0.35">
      <c r="A164">
        <v>82</v>
      </c>
      <c r="B164" t="s">
        <v>31</v>
      </c>
      <c r="C164" t="s">
        <v>113</v>
      </c>
      <c r="D164" t="s">
        <v>23</v>
      </c>
      <c r="E164" t="s">
        <v>24</v>
      </c>
      <c r="F164">
        <v>21</v>
      </c>
      <c r="G164" t="s">
        <v>149</v>
      </c>
      <c r="H164" t="s">
        <v>149</v>
      </c>
      <c r="I164" t="s">
        <v>26</v>
      </c>
      <c r="J164">
        <v>23.6</v>
      </c>
      <c r="K164">
        <v>2.6</v>
      </c>
      <c r="L164">
        <v>4</v>
      </c>
    </row>
    <row r="165" spans="1:12" x14ac:dyDescent="0.35">
      <c r="A165">
        <v>82</v>
      </c>
      <c r="B165" t="s">
        <v>31</v>
      </c>
      <c r="C165" t="s">
        <v>113</v>
      </c>
      <c r="D165" t="s">
        <v>27</v>
      </c>
      <c r="E165" t="s">
        <v>33</v>
      </c>
      <c r="F165">
        <v>24</v>
      </c>
      <c r="G165" t="s">
        <v>149</v>
      </c>
      <c r="H165" t="s">
        <v>149</v>
      </c>
      <c r="I165" t="s">
        <v>26</v>
      </c>
      <c r="J165">
        <v>26.8</v>
      </c>
      <c r="K165">
        <v>2.8</v>
      </c>
      <c r="L165">
        <v>4</v>
      </c>
    </row>
    <row r="166" spans="1:12" x14ac:dyDescent="0.35">
      <c r="A166">
        <v>83</v>
      </c>
      <c r="B166" t="s">
        <v>35</v>
      </c>
      <c r="C166" t="s">
        <v>113</v>
      </c>
      <c r="D166" t="s">
        <v>23</v>
      </c>
      <c r="E166" t="s">
        <v>24</v>
      </c>
      <c r="F166">
        <v>22</v>
      </c>
      <c r="G166">
        <v>24.2</v>
      </c>
      <c r="H166">
        <v>2.2000000000000002</v>
      </c>
      <c r="I166" t="s">
        <v>26</v>
      </c>
      <c r="J166">
        <v>25</v>
      </c>
      <c r="K166">
        <v>3</v>
      </c>
      <c r="L166">
        <v>4</v>
      </c>
    </row>
    <row r="167" spans="1:12" x14ac:dyDescent="0.35">
      <c r="A167">
        <v>83</v>
      </c>
      <c r="B167" t="s">
        <v>35</v>
      </c>
      <c r="C167" t="s">
        <v>113</v>
      </c>
      <c r="D167" t="s">
        <v>27</v>
      </c>
      <c r="E167" t="s">
        <v>24</v>
      </c>
      <c r="F167">
        <v>25</v>
      </c>
      <c r="G167">
        <v>27.2</v>
      </c>
      <c r="H167">
        <v>2.2000000000000002</v>
      </c>
      <c r="I167" t="s">
        <v>26</v>
      </c>
      <c r="J167">
        <v>28.2</v>
      </c>
      <c r="K167">
        <v>3.2</v>
      </c>
      <c r="L167">
        <v>4</v>
      </c>
    </row>
    <row r="168" spans="1:12" x14ac:dyDescent="0.35">
      <c r="A168">
        <v>84</v>
      </c>
      <c r="B168" t="s">
        <v>37</v>
      </c>
      <c r="C168" t="s">
        <v>113</v>
      </c>
      <c r="D168" t="s">
        <v>23</v>
      </c>
      <c r="E168" t="s">
        <v>24</v>
      </c>
      <c r="F168">
        <v>20</v>
      </c>
      <c r="G168">
        <v>24.3</v>
      </c>
      <c r="H168">
        <v>4.3</v>
      </c>
      <c r="I168" t="s">
        <v>26</v>
      </c>
      <c r="J168">
        <v>23.4</v>
      </c>
      <c r="K168">
        <v>3.4</v>
      </c>
      <c r="L168">
        <v>4</v>
      </c>
    </row>
    <row r="169" spans="1:12" x14ac:dyDescent="0.35">
      <c r="A169">
        <v>84</v>
      </c>
      <c r="B169" t="s">
        <v>37</v>
      </c>
      <c r="C169" t="s">
        <v>113</v>
      </c>
      <c r="D169" t="s">
        <v>27</v>
      </c>
      <c r="E169" t="s">
        <v>24</v>
      </c>
      <c r="F169">
        <v>23</v>
      </c>
      <c r="G169">
        <v>27.3</v>
      </c>
      <c r="H169">
        <v>4.3</v>
      </c>
      <c r="I169" t="s">
        <v>26</v>
      </c>
      <c r="J169">
        <v>26.8</v>
      </c>
      <c r="K169">
        <v>3.8</v>
      </c>
      <c r="L169">
        <v>4</v>
      </c>
    </row>
    <row r="170" spans="1:12" x14ac:dyDescent="0.35">
      <c r="A170">
        <v>85</v>
      </c>
      <c r="B170" t="s">
        <v>39</v>
      </c>
      <c r="C170" t="s">
        <v>113</v>
      </c>
      <c r="D170" t="s">
        <v>23</v>
      </c>
      <c r="E170" t="s">
        <v>24</v>
      </c>
      <c r="F170">
        <v>24</v>
      </c>
      <c r="G170">
        <v>25.2</v>
      </c>
      <c r="H170">
        <v>1.2</v>
      </c>
      <c r="I170" t="s">
        <v>26</v>
      </c>
      <c r="J170">
        <v>26.2</v>
      </c>
      <c r="K170">
        <v>2.2000000000000002</v>
      </c>
      <c r="L170">
        <v>4</v>
      </c>
    </row>
    <row r="171" spans="1:12" x14ac:dyDescent="0.35">
      <c r="A171">
        <v>85</v>
      </c>
      <c r="B171" t="s">
        <v>39</v>
      </c>
      <c r="C171" t="s">
        <v>113</v>
      </c>
      <c r="D171" t="s">
        <v>27</v>
      </c>
      <c r="E171" t="s">
        <v>24</v>
      </c>
      <c r="F171">
        <v>21</v>
      </c>
      <c r="G171">
        <v>22.2</v>
      </c>
      <c r="H171">
        <v>1.2</v>
      </c>
      <c r="I171" t="s">
        <v>26</v>
      </c>
      <c r="J171">
        <v>23.6</v>
      </c>
      <c r="K171">
        <v>2.6</v>
      </c>
      <c r="L171">
        <v>4</v>
      </c>
    </row>
    <row r="172" spans="1:12" x14ac:dyDescent="0.35">
      <c r="A172">
        <v>86</v>
      </c>
      <c r="B172" t="s">
        <v>41</v>
      </c>
      <c r="C172" t="s">
        <v>113</v>
      </c>
      <c r="D172" t="s">
        <v>23</v>
      </c>
      <c r="E172" t="s">
        <v>24</v>
      </c>
      <c r="F172">
        <v>19</v>
      </c>
      <c r="G172">
        <v>22.8</v>
      </c>
      <c r="H172">
        <v>3.8</v>
      </c>
      <c r="I172" t="s">
        <v>32</v>
      </c>
      <c r="J172">
        <v>21.8</v>
      </c>
      <c r="K172">
        <v>2.8</v>
      </c>
      <c r="L172">
        <v>4</v>
      </c>
    </row>
    <row r="173" spans="1:12" x14ac:dyDescent="0.35">
      <c r="A173">
        <v>86</v>
      </c>
      <c r="B173" t="s">
        <v>41</v>
      </c>
      <c r="C173" t="s">
        <v>113</v>
      </c>
      <c r="D173" t="s">
        <v>27</v>
      </c>
      <c r="E173" t="s">
        <v>24</v>
      </c>
      <c r="F173">
        <v>22</v>
      </c>
      <c r="G173">
        <v>25.8</v>
      </c>
      <c r="H173">
        <v>3.8</v>
      </c>
      <c r="I173" t="s">
        <v>32</v>
      </c>
      <c r="J173">
        <v>25</v>
      </c>
      <c r="K173">
        <v>3</v>
      </c>
      <c r="L173">
        <v>4</v>
      </c>
    </row>
    <row r="174" spans="1:12" x14ac:dyDescent="0.35">
      <c r="A174">
        <v>87</v>
      </c>
      <c r="B174" t="s">
        <v>43</v>
      </c>
      <c r="C174" t="s">
        <v>113</v>
      </c>
      <c r="D174" t="s">
        <v>23</v>
      </c>
      <c r="E174" t="s">
        <v>33</v>
      </c>
      <c r="F174">
        <v>20</v>
      </c>
      <c r="G174" t="s">
        <v>149</v>
      </c>
      <c r="H174" t="s">
        <v>149</v>
      </c>
      <c r="I174" t="s">
        <v>26</v>
      </c>
      <c r="J174">
        <v>23.2</v>
      </c>
      <c r="K174">
        <v>3.2</v>
      </c>
      <c r="L174">
        <v>4</v>
      </c>
    </row>
    <row r="175" spans="1:12" x14ac:dyDescent="0.35">
      <c r="A175">
        <v>87</v>
      </c>
      <c r="B175" t="s">
        <v>43</v>
      </c>
      <c r="C175" t="s">
        <v>113</v>
      </c>
      <c r="D175" t="s">
        <v>27</v>
      </c>
      <c r="E175" t="s">
        <v>24</v>
      </c>
      <c r="F175">
        <v>23</v>
      </c>
      <c r="G175" t="s">
        <v>149</v>
      </c>
      <c r="H175" t="s">
        <v>149</v>
      </c>
      <c r="I175" t="s">
        <v>26</v>
      </c>
      <c r="J175">
        <v>26.4</v>
      </c>
      <c r="K175">
        <v>3.4</v>
      </c>
      <c r="L175">
        <v>4</v>
      </c>
    </row>
    <row r="176" spans="1:12" x14ac:dyDescent="0.35">
      <c r="A176">
        <v>88</v>
      </c>
      <c r="B176" t="s">
        <v>45</v>
      </c>
      <c r="C176" t="s">
        <v>113</v>
      </c>
      <c r="D176" t="s">
        <v>23</v>
      </c>
      <c r="E176" t="s">
        <v>24</v>
      </c>
      <c r="F176">
        <v>21</v>
      </c>
      <c r="G176">
        <v>25.3</v>
      </c>
      <c r="H176">
        <v>4.3</v>
      </c>
      <c r="I176" t="s">
        <v>26</v>
      </c>
      <c r="J176">
        <v>24.8</v>
      </c>
      <c r="K176">
        <v>3.8</v>
      </c>
      <c r="L176">
        <v>4</v>
      </c>
    </row>
    <row r="177" spans="1:12" x14ac:dyDescent="0.35">
      <c r="A177">
        <v>88</v>
      </c>
      <c r="B177" t="s">
        <v>45</v>
      </c>
      <c r="C177" t="s">
        <v>113</v>
      </c>
      <c r="D177" t="s">
        <v>27</v>
      </c>
      <c r="E177" t="s">
        <v>33</v>
      </c>
      <c r="F177">
        <v>24</v>
      </c>
      <c r="G177">
        <v>28.3</v>
      </c>
      <c r="H177">
        <v>4.3</v>
      </c>
      <c r="I177" t="s">
        <v>26</v>
      </c>
      <c r="J177">
        <v>26.2</v>
      </c>
      <c r="K177">
        <v>2.2000000000000002</v>
      </c>
      <c r="L177">
        <v>4</v>
      </c>
    </row>
    <row r="178" spans="1:12" x14ac:dyDescent="0.35">
      <c r="A178">
        <v>89</v>
      </c>
      <c r="B178" t="s">
        <v>47</v>
      </c>
      <c r="C178" t="s">
        <v>113</v>
      </c>
      <c r="D178" t="s">
        <v>23</v>
      </c>
      <c r="E178" t="s">
        <v>24</v>
      </c>
      <c r="F178">
        <v>22</v>
      </c>
      <c r="G178" t="s">
        <v>149</v>
      </c>
      <c r="H178" t="s">
        <v>149</v>
      </c>
      <c r="I178" t="s">
        <v>26</v>
      </c>
      <c r="J178">
        <v>24.6</v>
      </c>
      <c r="K178">
        <v>2.6</v>
      </c>
      <c r="L178">
        <v>4</v>
      </c>
    </row>
    <row r="179" spans="1:12" x14ac:dyDescent="0.35">
      <c r="A179">
        <v>89</v>
      </c>
      <c r="B179" t="s">
        <v>47</v>
      </c>
      <c r="C179" t="s">
        <v>113</v>
      </c>
      <c r="D179" t="s">
        <v>27</v>
      </c>
      <c r="E179" t="s">
        <v>33</v>
      </c>
      <c r="F179">
        <v>19</v>
      </c>
      <c r="G179" t="s">
        <v>149</v>
      </c>
      <c r="H179" t="s">
        <v>149</v>
      </c>
      <c r="I179" t="s">
        <v>26</v>
      </c>
      <c r="J179">
        <v>21.8</v>
      </c>
      <c r="K179">
        <v>2.8</v>
      </c>
      <c r="L179">
        <v>4</v>
      </c>
    </row>
    <row r="180" spans="1:12" x14ac:dyDescent="0.35">
      <c r="A180">
        <v>90</v>
      </c>
      <c r="B180" t="s">
        <v>49</v>
      </c>
      <c r="C180" t="s">
        <v>113</v>
      </c>
      <c r="D180" t="s">
        <v>23</v>
      </c>
      <c r="E180" t="s">
        <v>24</v>
      </c>
      <c r="F180">
        <v>25</v>
      </c>
      <c r="G180" t="s">
        <v>149</v>
      </c>
      <c r="H180" t="s">
        <v>149</v>
      </c>
      <c r="I180" t="s">
        <v>26</v>
      </c>
      <c r="J180">
        <v>28</v>
      </c>
      <c r="K180">
        <v>3</v>
      </c>
      <c r="L180">
        <v>4</v>
      </c>
    </row>
    <row r="181" spans="1:12" x14ac:dyDescent="0.35">
      <c r="A181">
        <v>90</v>
      </c>
      <c r="B181" t="s">
        <v>49</v>
      </c>
      <c r="C181" t="s">
        <v>113</v>
      </c>
      <c r="D181" t="s">
        <v>27</v>
      </c>
      <c r="E181" t="s">
        <v>33</v>
      </c>
      <c r="F181">
        <v>22</v>
      </c>
      <c r="G181" t="s">
        <v>149</v>
      </c>
      <c r="H181" t="s">
        <v>149</v>
      </c>
      <c r="I181" t="s">
        <v>26</v>
      </c>
      <c r="J181">
        <v>25.2</v>
      </c>
      <c r="K181">
        <v>3.2</v>
      </c>
      <c r="L181">
        <v>4</v>
      </c>
    </row>
    <row r="182" spans="1:12" x14ac:dyDescent="0.35">
      <c r="A182">
        <v>91</v>
      </c>
      <c r="B182" t="s">
        <v>51</v>
      </c>
      <c r="C182" t="s">
        <v>113</v>
      </c>
      <c r="D182" t="s">
        <v>23</v>
      </c>
      <c r="E182" t="s">
        <v>24</v>
      </c>
      <c r="F182">
        <v>23</v>
      </c>
      <c r="G182">
        <v>27.2</v>
      </c>
      <c r="H182">
        <v>4.2</v>
      </c>
      <c r="I182" t="s">
        <v>26</v>
      </c>
      <c r="J182">
        <v>26.4</v>
      </c>
      <c r="K182">
        <v>3.4</v>
      </c>
      <c r="L182">
        <v>4</v>
      </c>
    </row>
    <row r="183" spans="1:12" x14ac:dyDescent="0.35">
      <c r="A183">
        <v>91</v>
      </c>
      <c r="B183" t="s">
        <v>51</v>
      </c>
      <c r="C183" t="s">
        <v>113</v>
      </c>
      <c r="D183" t="s">
        <v>27</v>
      </c>
      <c r="E183" t="s">
        <v>24</v>
      </c>
      <c r="F183">
        <v>20</v>
      </c>
      <c r="G183">
        <v>24.2</v>
      </c>
      <c r="H183">
        <v>4.2</v>
      </c>
      <c r="I183" t="s">
        <v>26</v>
      </c>
      <c r="J183">
        <v>23.8</v>
      </c>
      <c r="K183">
        <v>3.8</v>
      </c>
      <c r="L183">
        <v>4</v>
      </c>
    </row>
    <row r="184" spans="1:12" x14ac:dyDescent="0.35">
      <c r="A184">
        <v>92</v>
      </c>
      <c r="B184" t="s">
        <v>53</v>
      </c>
      <c r="C184" t="s">
        <v>113</v>
      </c>
      <c r="D184" t="s">
        <v>23</v>
      </c>
      <c r="E184" t="s">
        <v>33</v>
      </c>
      <c r="F184">
        <v>21</v>
      </c>
      <c r="G184">
        <v>22.2</v>
      </c>
      <c r="H184">
        <v>1.2</v>
      </c>
      <c r="I184" t="s">
        <v>25</v>
      </c>
      <c r="J184" t="s">
        <v>149</v>
      </c>
      <c r="K184" t="s">
        <v>149</v>
      </c>
      <c r="L184">
        <v>4</v>
      </c>
    </row>
    <row r="185" spans="1:12" x14ac:dyDescent="0.35">
      <c r="A185">
        <v>92</v>
      </c>
      <c r="B185" t="s">
        <v>53</v>
      </c>
      <c r="C185" t="s">
        <v>113</v>
      </c>
      <c r="D185" t="s">
        <v>27</v>
      </c>
      <c r="E185" t="s">
        <v>24</v>
      </c>
      <c r="F185">
        <v>24</v>
      </c>
      <c r="G185">
        <v>25.2</v>
      </c>
      <c r="H185">
        <v>1.2</v>
      </c>
      <c r="I185" t="s">
        <v>25</v>
      </c>
      <c r="J185" t="s">
        <v>149</v>
      </c>
      <c r="K185" t="s">
        <v>149</v>
      </c>
      <c r="L185">
        <v>4</v>
      </c>
    </row>
    <row r="186" spans="1:12" x14ac:dyDescent="0.35">
      <c r="A186">
        <v>93</v>
      </c>
      <c r="B186" t="s">
        <v>55</v>
      </c>
      <c r="C186" t="s">
        <v>113</v>
      </c>
      <c r="D186" t="s">
        <v>23</v>
      </c>
      <c r="E186" t="s">
        <v>24</v>
      </c>
      <c r="F186">
        <v>22</v>
      </c>
      <c r="G186">
        <v>24.4</v>
      </c>
      <c r="H186">
        <v>2.4</v>
      </c>
      <c r="I186" t="s">
        <v>26</v>
      </c>
      <c r="J186">
        <v>24.2</v>
      </c>
      <c r="K186">
        <v>2.2000000000000002</v>
      </c>
      <c r="L186">
        <v>4</v>
      </c>
    </row>
    <row r="187" spans="1:12" x14ac:dyDescent="0.35">
      <c r="A187">
        <v>93</v>
      </c>
      <c r="B187" t="s">
        <v>55</v>
      </c>
      <c r="C187" t="s">
        <v>113</v>
      </c>
      <c r="D187" t="s">
        <v>27</v>
      </c>
      <c r="E187" t="s">
        <v>24</v>
      </c>
      <c r="F187">
        <v>25</v>
      </c>
      <c r="G187">
        <v>27.4</v>
      </c>
      <c r="H187">
        <v>2.4</v>
      </c>
      <c r="I187" t="s">
        <v>26</v>
      </c>
      <c r="J187">
        <v>27.6</v>
      </c>
      <c r="K187">
        <v>2.6</v>
      </c>
      <c r="L187">
        <v>4</v>
      </c>
    </row>
    <row r="188" spans="1:12" x14ac:dyDescent="0.35">
      <c r="A188">
        <v>94</v>
      </c>
      <c r="B188" t="s">
        <v>57</v>
      </c>
      <c r="C188" t="s">
        <v>113</v>
      </c>
      <c r="D188" t="s">
        <v>23</v>
      </c>
      <c r="E188" t="s">
        <v>33</v>
      </c>
      <c r="F188">
        <v>20</v>
      </c>
      <c r="G188">
        <v>24</v>
      </c>
      <c r="H188">
        <v>4</v>
      </c>
      <c r="I188" t="s">
        <v>26</v>
      </c>
      <c r="J188">
        <v>22.8</v>
      </c>
      <c r="K188">
        <v>2.8</v>
      </c>
      <c r="L188">
        <v>4</v>
      </c>
    </row>
    <row r="189" spans="1:12" x14ac:dyDescent="0.35">
      <c r="A189">
        <v>94</v>
      </c>
      <c r="B189" t="s">
        <v>57</v>
      </c>
      <c r="C189" t="s">
        <v>113</v>
      </c>
      <c r="D189" t="s">
        <v>27</v>
      </c>
      <c r="E189" t="s">
        <v>24</v>
      </c>
      <c r="F189">
        <v>23</v>
      </c>
      <c r="G189">
        <v>27</v>
      </c>
      <c r="H189">
        <v>4</v>
      </c>
      <c r="I189" t="s">
        <v>26</v>
      </c>
      <c r="J189">
        <v>26</v>
      </c>
      <c r="K189">
        <v>3</v>
      </c>
      <c r="L189">
        <v>4</v>
      </c>
    </row>
    <row r="190" spans="1:12" x14ac:dyDescent="0.35">
      <c r="A190">
        <v>95</v>
      </c>
      <c r="B190" t="s">
        <v>59</v>
      </c>
      <c r="C190" t="s">
        <v>113</v>
      </c>
      <c r="D190" t="s">
        <v>23</v>
      </c>
      <c r="E190" t="s">
        <v>24</v>
      </c>
      <c r="F190">
        <v>21</v>
      </c>
      <c r="G190" t="s">
        <v>149</v>
      </c>
      <c r="H190" t="s">
        <v>149</v>
      </c>
      <c r="I190" t="s">
        <v>25</v>
      </c>
      <c r="J190" t="s">
        <v>149</v>
      </c>
      <c r="K190" t="s">
        <v>149</v>
      </c>
      <c r="L190">
        <v>4</v>
      </c>
    </row>
    <row r="191" spans="1:12" x14ac:dyDescent="0.35">
      <c r="A191">
        <v>95</v>
      </c>
      <c r="B191" t="s">
        <v>59</v>
      </c>
      <c r="C191" t="s">
        <v>113</v>
      </c>
      <c r="D191" t="s">
        <v>27</v>
      </c>
      <c r="E191" t="s">
        <v>33</v>
      </c>
      <c r="F191">
        <v>24</v>
      </c>
      <c r="G191" t="s">
        <v>149</v>
      </c>
      <c r="H191" t="s">
        <v>149</v>
      </c>
      <c r="I191" t="s">
        <v>25</v>
      </c>
      <c r="J191" t="s">
        <v>149</v>
      </c>
      <c r="K191" t="s">
        <v>149</v>
      </c>
      <c r="L191">
        <v>4</v>
      </c>
    </row>
    <row r="192" spans="1:12" x14ac:dyDescent="0.35">
      <c r="A192">
        <v>96</v>
      </c>
      <c r="B192" t="s">
        <v>61</v>
      </c>
      <c r="C192" t="s">
        <v>113</v>
      </c>
      <c r="D192" t="s">
        <v>23</v>
      </c>
      <c r="E192" t="s">
        <v>33</v>
      </c>
      <c r="F192">
        <v>19</v>
      </c>
      <c r="G192" t="s">
        <v>149</v>
      </c>
      <c r="H192" t="s">
        <v>149</v>
      </c>
      <c r="I192" t="s">
        <v>25</v>
      </c>
      <c r="J192" t="s">
        <v>149</v>
      </c>
      <c r="K192" t="s">
        <v>149</v>
      </c>
      <c r="L192">
        <v>4</v>
      </c>
    </row>
    <row r="193" spans="1:12" x14ac:dyDescent="0.35">
      <c r="A193">
        <v>96</v>
      </c>
      <c r="B193" t="s">
        <v>61</v>
      </c>
      <c r="C193" t="s">
        <v>113</v>
      </c>
      <c r="D193" t="s">
        <v>27</v>
      </c>
      <c r="E193" t="s">
        <v>24</v>
      </c>
      <c r="F193">
        <v>22</v>
      </c>
      <c r="G193" t="s">
        <v>149</v>
      </c>
      <c r="H193" t="s">
        <v>149</v>
      </c>
      <c r="I193" t="s">
        <v>25</v>
      </c>
      <c r="J193" t="s">
        <v>149</v>
      </c>
      <c r="K193" t="s">
        <v>149</v>
      </c>
      <c r="L193">
        <v>4</v>
      </c>
    </row>
    <row r="194" spans="1:12" x14ac:dyDescent="0.35">
      <c r="A194">
        <v>97</v>
      </c>
      <c r="B194" t="s">
        <v>63</v>
      </c>
      <c r="C194" t="s">
        <v>113</v>
      </c>
      <c r="D194" t="s">
        <v>23</v>
      </c>
      <c r="E194" t="s">
        <v>33</v>
      </c>
      <c r="F194">
        <v>23</v>
      </c>
      <c r="G194">
        <v>25.3</v>
      </c>
      <c r="H194">
        <v>2.2999999999999998</v>
      </c>
      <c r="I194" t="s">
        <v>26</v>
      </c>
      <c r="J194">
        <v>25.6</v>
      </c>
      <c r="K194">
        <v>2.6</v>
      </c>
      <c r="L194">
        <v>4</v>
      </c>
    </row>
    <row r="195" spans="1:12" x14ac:dyDescent="0.35">
      <c r="A195">
        <v>97</v>
      </c>
      <c r="B195" t="s">
        <v>63</v>
      </c>
      <c r="C195" t="s">
        <v>113</v>
      </c>
      <c r="D195" t="s">
        <v>27</v>
      </c>
      <c r="E195" t="s">
        <v>24</v>
      </c>
      <c r="F195">
        <v>20</v>
      </c>
      <c r="G195">
        <v>22.3</v>
      </c>
      <c r="H195">
        <v>2.2999999999999998</v>
      </c>
      <c r="I195" t="s">
        <v>26</v>
      </c>
      <c r="J195">
        <v>22.8</v>
      </c>
      <c r="K195">
        <v>2.8</v>
      </c>
      <c r="L195">
        <v>4</v>
      </c>
    </row>
    <row r="196" spans="1:12" x14ac:dyDescent="0.35">
      <c r="A196">
        <v>98</v>
      </c>
      <c r="B196" t="s">
        <v>65</v>
      </c>
      <c r="C196" t="s">
        <v>113</v>
      </c>
      <c r="D196" t="s">
        <v>23</v>
      </c>
      <c r="E196" t="s">
        <v>24</v>
      </c>
      <c r="F196">
        <v>24</v>
      </c>
      <c r="G196" t="s">
        <v>149</v>
      </c>
      <c r="H196" t="s">
        <v>149</v>
      </c>
      <c r="I196" t="s">
        <v>26</v>
      </c>
      <c r="J196">
        <v>27</v>
      </c>
      <c r="K196">
        <v>3</v>
      </c>
      <c r="L196">
        <v>4</v>
      </c>
    </row>
    <row r="197" spans="1:12" x14ac:dyDescent="0.35">
      <c r="A197">
        <v>98</v>
      </c>
      <c r="B197" t="s">
        <v>65</v>
      </c>
      <c r="C197" t="s">
        <v>113</v>
      </c>
      <c r="D197" t="s">
        <v>27</v>
      </c>
      <c r="E197" t="s">
        <v>33</v>
      </c>
      <c r="F197">
        <v>21</v>
      </c>
      <c r="G197" t="s">
        <v>149</v>
      </c>
      <c r="H197" t="s">
        <v>149</v>
      </c>
      <c r="I197" t="s">
        <v>26</v>
      </c>
      <c r="J197">
        <v>24.2</v>
      </c>
      <c r="K197">
        <v>3.2</v>
      </c>
      <c r="L197">
        <v>4</v>
      </c>
    </row>
    <row r="198" spans="1:12" x14ac:dyDescent="0.35">
      <c r="A198">
        <v>99</v>
      </c>
      <c r="B198" t="s">
        <v>67</v>
      </c>
      <c r="C198" t="s">
        <v>113</v>
      </c>
      <c r="D198" t="s">
        <v>23</v>
      </c>
      <c r="E198" t="s">
        <v>24</v>
      </c>
      <c r="F198">
        <v>22</v>
      </c>
      <c r="G198" t="s">
        <v>149</v>
      </c>
      <c r="H198" t="s">
        <v>149</v>
      </c>
      <c r="I198" t="s">
        <v>32</v>
      </c>
      <c r="J198">
        <v>25.4</v>
      </c>
      <c r="K198">
        <v>3.4</v>
      </c>
      <c r="L198">
        <v>4</v>
      </c>
    </row>
    <row r="199" spans="1:12" x14ac:dyDescent="0.35">
      <c r="A199">
        <v>99</v>
      </c>
      <c r="B199" t="s">
        <v>67</v>
      </c>
      <c r="C199" t="s">
        <v>113</v>
      </c>
      <c r="D199" t="s">
        <v>27</v>
      </c>
      <c r="E199" t="s">
        <v>24</v>
      </c>
      <c r="F199">
        <v>25</v>
      </c>
      <c r="G199" t="s">
        <v>149</v>
      </c>
      <c r="H199" t="s">
        <v>149</v>
      </c>
      <c r="I199" t="s">
        <v>32</v>
      </c>
      <c r="J199">
        <v>28.8</v>
      </c>
      <c r="K199">
        <v>3.8</v>
      </c>
      <c r="L199">
        <v>4</v>
      </c>
    </row>
    <row r="200" spans="1:12" x14ac:dyDescent="0.35">
      <c r="A200">
        <v>100</v>
      </c>
      <c r="B200" t="s">
        <v>69</v>
      </c>
      <c r="C200" t="s">
        <v>113</v>
      </c>
      <c r="D200" t="s">
        <v>23</v>
      </c>
      <c r="E200" t="s">
        <v>24</v>
      </c>
      <c r="F200">
        <v>24</v>
      </c>
      <c r="G200">
        <v>25.8</v>
      </c>
      <c r="H200">
        <v>1.8</v>
      </c>
      <c r="I200" t="s">
        <v>26</v>
      </c>
      <c r="J200">
        <v>26.2</v>
      </c>
      <c r="K200">
        <v>2.2000000000000002</v>
      </c>
      <c r="L200">
        <v>4</v>
      </c>
    </row>
    <row r="201" spans="1:12" x14ac:dyDescent="0.35">
      <c r="A201">
        <v>100</v>
      </c>
      <c r="B201" t="s">
        <v>69</v>
      </c>
      <c r="C201" t="s">
        <v>113</v>
      </c>
      <c r="D201" t="s">
        <v>27</v>
      </c>
      <c r="E201" t="s">
        <v>24</v>
      </c>
      <c r="F201">
        <v>21</v>
      </c>
      <c r="G201">
        <v>22.8</v>
      </c>
      <c r="H201">
        <v>1.8</v>
      </c>
      <c r="I201" t="s">
        <v>26</v>
      </c>
      <c r="J201">
        <v>23.6</v>
      </c>
      <c r="K201">
        <v>2.6</v>
      </c>
      <c r="L201">
        <v>4</v>
      </c>
    </row>
    <row r="202" spans="1:12" x14ac:dyDescent="0.35">
      <c r="A202">
        <v>101</v>
      </c>
      <c r="B202" t="s">
        <v>21</v>
      </c>
      <c r="C202" t="s">
        <v>113</v>
      </c>
      <c r="D202" t="s">
        <v>23</v>
      </c>
      <c r="E202" t="s">
        <v>24</v>
      </c>
      <c r="F202">
        <v>20</v>
      </c>
      <c r="G202">
        <v>21.1</v>
      </c>
      <c r="H202">
        <v>1.1000000000000001</v>
      </c>
      <c r="I202" t="s">
        <v>26</v>
      </c>
      <c r="J202">
        <v>22.8</v>
      </c>
      <c r="K202">
        <v>2.8</v>
      </c>
      <c r="L202">
        <v>4</v>
      </c>
    </row>
    <row r="203" spans="1:12" x14ac:dyDescent="0.35">
      <c r="A203">
        <v>101</v>
      </c>
      <c r="B203" t="s">
        <v>21</v>
      </c>
      <c r="C203" t="s">
        <v>113</v>
      </c>
      <c r="D203" t="s">
        <v>27</v>
      </c>
      <c r="E203" t="s">
        <v>24</v>
      </c>
      <c r="F203">
        <v>23</v>
      </c>
      <c r="G203">
        <v>24.1</v>
      </c>
      <c r="H203">
        <v>1.1000000000000001</v>
      </c>
      <c r="I203" t="s">
        <v>26</v>
      </c>
      <c r="J203">
        <v>26</v>
      </c>
      <c r="K203">
        <v>3</v>
      </c>
      <c r="L203">
        <v>4</v>
      </c>
    </row>
    <row r="204" spans="1:12" x14ac:dyDescent="0.35">
      <c r="A204">
        <v>102</v>
      </c>
      <c r="B204" t="s">
        <v>31</v>
      </c>
      <c r="C204" t="s">
        <v>113</v>
      </c>
      <c r="D204" t="s">
        <v>23</v>
      </c>
      <c r="E204" t="s">
        <v>24</v>
      </c>
      <c r="F204">
        <v>22</v>
      </c>
      <c r="G204" t="s">
        <v>149</v>
      </c>
      <c r="H204" t="s">
        <v>149</v>
      </c>
      <c r="I204" t="s">
        <v>26</v>
      </c>
      <c r="J204">
        <v>25.2</v>
      </c>
      <c r="K204">
        <v>3.2</v>
      </c>
      <c r="L204">
        <v>4</v>
      </c>
    </row>
    <row r="205" spans="1:12" x14ac:dyDescent="0.35">
      <c r="A205">
        <v>102</v>
      </c>
      <c r="B205" t="s">
        <v>31</v>
      </c>
      <c r="C205" t="s">
        <v>113</v>
      </c>
      <c r="D205" t="s">
        <v>27</v>
      </c>
      <c r="E205" t="s">
        <v>33</v>
      </c>
      <c r="F205">
        <v>19</v>
      </c>
      <c r="G205" t="s">
        <v>149</v>
      </c>
      <c r="H205" t="s">
        <v>149</v>
      </c>
      <c r="I205" t="s">
        <v>26</v>
      </c>
      <c r="J205">
        <v>22.4</v>
      </c>
      <c r="K205">
        <v>3.4</v>
      </c>
      <c r="L205">
        <v>4</v>
      </c>
    </row>
    <row r="206" spans="1:12" x14ac:dyDescent="0.35">
      <c r="A206">
        <v>103</v>
      </c>
      <c r="B206" t="s">
        <v>35</v>
      </c>
      <c r="C206" t="s">
        <v>113</v>
      </c>
      <c r="D206" t="s">
        <v>23</v>
      </c>
      <c r="E206" t="s">
        <v>24</v>
      </c>
      <c r="F206">
        <v>24</v>
      </c>
      <c r="G206" t="s">
        <v>149</v>
      </c>
      <c r="H206" t="s">
        <v>149</v>
      </c>
      <c r="I206" t="s">
        <v>25</v>
      </c>
      <c r="J206" t="s">
        <v>149</v>
      </c>
      <c r="K206" t="s">
        <v>149</v>
      </c>
      <c r="L206">
        <v>4</v>
      </c>
    </row>
    <row r="207" spans="1:12" x14ac:dyDescent="0.35">
      <c r="A207">
        <v>103</v>
      </c>
      <c r="B207" t="s">
        <v>35</v>
      </c>
      <c r="C207" t="s">
        <v>113</v>
      </c>
      <c r="D207" t="s">
        <v>27</v>
      </c>
      <c r="E207" t="s">
        <v>33</v>
      </c>
      <c r="F207">
        <v>21</v>
      </c>
      <c r="G207" t="s">
        <v>149</v>
      </c>
      <c r="H207" t="s">
        <v>149</v>
      </c>
      <c r="I207" t="s">
        <v>25</v>
      </c>
      <c r="J207" t="s">
        <v>149</v>
      </c>
      <c r="K207" t="s">
        <v>149</v>
      </c>
      <c r="L207">
        <v>4</v>
      </c>
    </row>
    <row r="208" spans="1:12" x14ac:dyDescent="0.35">
      <c r="A208">
        <v>104</v>
      </c>
      <c r="B208" t="s">
        <v>37</v>
      </c>
      <c r="C208" t="s">
        <v>113</v>
      </c>
      <c r="D208" t="s">
        <v>23</v>
      </c>
      <c r="E208" t="s">
        <v>33</v>
      </c>
      <c r="F208">
        <v>20</v>
      </c>
      <c r="G208" t="s">
        <v>149</v>
      </c>
      <c r="H208" t="s">
        <v>149</v>
      </c>
      <c r="I208" t="s">
        <v>26</v>
      </c>
      <c r="J208">
        <v>23.8</v>
      </c>
      <c r="K208">
        <v>3.8</v>
      </c>
      <c r="L208">
        <v>4</v>
      </c>
    </row>
    <row r="209" spans="1:12" x14ac:dyDescent="0.35">
      <c r="A209">
        <v>104</v>
      </c>
      <c r="B209" t="s">
        <v>37</v>
      </c>
      <c r="C209" t="s">
        <v>113</v>
      </c>
      <c r="D209" t="s">
        <v>27</v>
      </c>
      <c r="E209" t="s">
        <v>33</v>
      </c>
      <c r="F209">
        <v>23</v>
      </c>
      <c r="G209" t="s">
        <v>149</v>
      </c>
      <c r="H209" t="s">
        <v>149</v>
      </c>
      <c r="I209" t="s">
        <v>26</v>
      </c>
      <c r="J209">
        <v>25.2</v>
      </c>
      <c r="K209">
        <v>2.2000000000000002</v>
      </c>
      <c r="L209">
        <v>4</v>
      </c>
    </row>
    <row r="210" spans="1:12" x14ac:dyDescent="0.35">
      <c r="A210">
        <v>105</v>
      </c>
      <c r="B210" t="s">
        <v>39</v>
      </c>
      <c r="C210" t="s">
        <v>113</v>
      </c>
      <c r="D210" t="s">
        <v>23</v>
      </c>
      <c r="E210" t="s">
        <v>33</v>
      </c>
      <c r="F210">
        <v>21</v>
      </c>
      <c r="G210">
        <v>24.3</v>
      </c>
      <c r="H210">
        <v>3.3</v>
      </c>
      <c r="I210" t="s">
        <v>32</v>
      </c>
      <c r="J210">
        <v>23.6</v>
      </c>
      <c r="K210">
        <v>2.6</v>
      </c>
      <c r="L210">
        <v>4</v>
      </c>
    </row>
    <row r="211" spans="1:12" x14ac:dyDescent="0.35">
      <c r="A211">
        <v>105</v>
      </c>
      <c r="B211" t="s">
        <v>39</v>
      </c>
      <c r="C211" t="s">
        <v>113</v>
      </c>
      <c r="D211" t="s">
        <v>27</v>
      </c>
      <c r="E211" t="s">
        <v>33</v>
      </c>
      <c r="F211">
        <v>24</v>
      </c>
      <c r="G211">
        <v>27.3</v>
      </c>
      <c r="H211">
        <v>3.3</v>
      </c>
      <c r="I211" t="s">
        <v>32</v>
      </c>
      <c r="J211">
        <v>26.8</v>
      </c>
      <c r="K211">
        <v>2.8</v>
      </c>
      <c r="L211">
        <v>4</v>
      </c>
    </row>
    <row r="212" spans="1:12" x14ac:dyDescent="0.35">
      <c r="A212">
        <v>106</v>
      </c>
      <c r="B212" t="s">
        <v>41</v>
      </c>
      <c r="C212" t="s">
        <v>113</v>
      </c>
      <c r="D212" t="s">
        <v>23</v>
      </c>
      <c r="E212" t="s">
        <v>33</v>
      </c>
      <c r="F212">
        <v>19</v>
      </c>
      <c r="G212" t="s">
        <v>149</v>
      </c>
      <c r="H212" t="s">
        <v>149</v>
      </c>
      <c r="I212" t="s">
        <v>26</v>
      </c>
      <c r="J212">
        <v>22</v>
      </c>
      <c r="K212">
        <v>3</v>
      </c>
      <c r="L212">
        <v>4</v>
      </c>
    </row>
    <row r="213" spans="1:12" x14ac:dyDescent="0.35">
      <c r="A213">
        <v>106</v>
      </c>
      <c r="B213" t="s">
        <v>41</v>
      </c>
      <c r="C213" t="s">
        <v>113</v>
      </c>
      <c r="D213" t="s">
        <v>27</v>
      </c>
      <c r="E213" t="s">
        <v>24</v>
      </c>
      <c r="F213">
        <v>22</v>
      </c>
      <c r="G213" t="s">
        <v>149</v>
      </c>
      <c r="H213" t="s">
        <v>149</v>
      </c>
      <c r="I213" t="s">
        <v>26</v>
      </c>
      <c r="J213">
        <v>25.2</v>
      </c>
      <c r="K213">
        <v>3.2</v>
      </c>
      <c r="L213">
        <v>4</v>
      </c>
    </row>
    <row r="214" spans="1:12" x14ac:dyDescent="0.35">
      <c r="A214">
        <v>107</v>
      </c>
      <c r="B214" t="s">
        <v>43</v>
      </c>
      <c r="C214" t="s">
        <v>113</v>
      </c>
      <c r="D214" t="s">
        <v>23</v>
      </c>
      <c r="E214" t="s">
        <v>24</v>
      </c>
      <c r="F214">
        <v>23</v>
      </c>
      <c r="G214">
        <v>24.2</v>
      </c>
      <c r="H214">
        <v>1.2</v>
      </c>
      <c r="I214" t="s">
        <v>26</v>
      </c>
      <c r="J214">
        <v>26.4</v>
      </c>
      <c r="K214">
        <v>3.4</v>
      </c>
      <c r="L214">
        <v>4</v>
      </c>
    </row>
    <row r="215" spans="1:12" x14ac:dyDescent="0.35">
      <c r="A215">
        <v>107</v>
      </c>
      <c r="B215" t="s">
        <v>43</v>
      </c>
      <c r="C215" t="s">
        <v>113</v>
      </c>
      <c r="D215" t="s">
        <v>27</v>
      </c>
      <c r="E215" t="s">
        <v>33</v>
      </c>
      <c r="F215">
        <v>20</v>
      </c>
      <c r="G215">
        <v>21.2</v>
      </c>
      <c r="H215">
        <v>1.2</v>
      </c>
      <c r="I215" t="s">
        <v>26</v>
      </c>
      <c r="J215">
        <v>23.8</v>
      </c>
      <c r="K215">
        <v>3.8</v>
      </c>
      <c r="L215">
        <v>4</v>
      </c>
    </row>
    <row r="216" spans="1:12" x14ac:dyDescent="0.35">
      <c r="A216">
        <v>108</v>
      </c>
      <c r="B216" t="s">
        <v>45</v>
      </c>
      <c r="C216" t="s">
        <v>113</v>
      </c>
      <c r="D216" t="s">
        <v>23</v>
      </c>
      <c r="E216" t="s">
        <v>24</v>
      </c>
      <c r="F216">
        <v>21</v>
      </c>
      <c r="G216">
        <v>21.9</v>
      </c>
      <c r="H216">
        <v>0.9</v>
      </c>
      <c r="I216" t="s">
        <v>32</v>
      </c>
      <c r="J216">
        <v>23.2</v>
      </c>
      <c r="K216">
        <v>2.2000000000000002</v>
      </c>
      <c r="L216">
        <v>4</v>
      </c>
    </row>
    <row r="217" spans="1:12" x14ac:dyDescent="0.35">
      <c r="A217">
        <v>108</v>
      </c>
      <c r="B217" t="s">
        <v>45</v>
      </c>
      <c r="C217" t="s">
        <v>113</v>
      </c>
      <c r="D217" t="s">
        <v>27</v>
      </c>
      <c r="E217" t="s">
        <v>24</v>
      </c>
      <c r="F217">
        <v>24</v>
      </c>
      <c r="G217">
        <v>24.9</v>
      </c>
      <c r="H217">
        <v>0.9</v>
      </c>
      <c r="I217" t="s">
        <v>32</v>
      </c>
      <c r="J217">
        <v>26.6</v>
      </c>
      <c r="K217">
        <v>2.6</v>
      </c>
      <c r="L217">
        <v>4</v>
      </c>
    </row>
    <row r="218" spans="1:12" x14ac:dyDescent="0.35">
      <c r="A218">
        <v>109</v>
      </c>
      <c r="B218" t="s">
        <v>47</v>
      </c>
      <c r="C218" t="s">
        <v>113</v>
      </c>
      <c r="D218" t="s">
        <v>23</v>
      </c>
      <c r="E218" t="s">
        <v>24</v>
      </c>
      <c r="F218">
        <v>22</v>
      </c>
      <c r="G218" t="s">
        <v>149</v>
      </c>
      <c r="H218" t="s">
        <v>149</v>
      </c>
      <c r="I218" t="s">
        <v>25</v>
      </c>
      <c r="J218" t="s">
        <v>149</v>
      </c>
      <c r="K218" t="s">
        <v>149</v>
      </c>
      <c r="L218">
        <v>4</v>
      </c>
    </row>
    <row r="219" spans="1:12" x14ac:dyDescent="0.35">
      <c r="A219">
        <v>109</v>
      </c>
      <c r="B219" t="s">
        <v>47</v>
      </c>
      <c r="C219" t="s">
        <v>113</v>
      </c>
      <c r="D219" t="s">
        <v>27</v>
      </c>
      <c r="E219" t="s">
        <v>24</v>
      </c>
      <c r="F219">
        <v>25</v>
      </c>
      <c r="G219" t="s">
        <v>149</v>
      </c>
      <c r="H219" t="s">
        <v>149</v>
      </c>
      <c r="I219" t="s">
        <v>25</v>
      </c>
      <c r="J219" t="s">
        <v>149</v>
      </c>
      <c r="K219" t="s">
        <v>149</v>
      </c>
      <c r="L219">
        <v>4</v>
      </c>
    </row>
    <row r="220" spans="1:12" x14ac:dyDescent="0.35">
      <c r="A220">
        <v>110</v>
      </c>
      <c r="B220" t="s">
        <v>49</v>
      </c>
      <c r="C220" t="s">
        <v>113</v>
      </c>
      <c r="D220" t="s">
        <v>23</v>
      </c>
      <c r="E220" t="s">
        <v>33</v>
      </c>
      <c r="F220">
        <v>20</v>
      </c>
      <c r="G220" t="s">
        <v>149</v>
      </c>
      <c r="H220" t="s">
        <v>149</v>
      </c>
      <c r="I220" t="s">
        <v>26</v>
      </c>
      <c r="J220">
        <v>22.8</v>
      </c>
      <c r="K220">
        <v>2.8</v>
      </c>
      <c r="L220">
        <v>4</v>
      </c>
    </row>
    <row r="221" spans="1:12" x14ac:dyDescent="0.35">
      <c r="A221">
        <v>110</v>
      </c>
      <c r="B221" t="s">
        <v>49</v>
      </c>
      <c r="C221" t="s">
        <v>113</v>
      </c>
      <c r="D221" t="s">
        <v>27</v>
      </c>
      <c r="E221" t="s">
        <v>24</v>
      </c>
      <c r="F221">
        <v>23</v>
      </c>
      <c r="G221" t="s">
        <v>149</v>
      </c>
      <c r="H221" t="s">
        <v>149</v>
      </c>
      <c r="I221" t="s">
        <v>26</v>
      </c>
      <c r="J221">
        <v>26</v>
      </c>
      <c r="K221">
        <v>3</v>
      </c>
      <c r="L221">
        <v>4</v>
      </c>
    </row>
    <row r="222" spans="1:12" x14ac:dyDescent="0.35">
      <c r="A222">
        <v>111</v>
      </c>
      <c r="B222" t="s">
        <v>51</v>
      </c>
      <c r="C222" t="s">
        <v>113</v>
      </c>
      <c r="D222" t="s">
        <v>23</v>
      </c>
      <c r="E222" t="s">
        <v>33</v>
      </c>
      <c r="F222">
        <v>24</v>
      </c>
      <c r="G222">
        <v>26.3</v>
      </c>
      <c r="H222">
        <v>2.2999999999999998</v>
      </c>
      <c r="I222" t="s">
        <v>32</v>
      </c>
      <c r="J222">
        <v>27.2</v>
      </c>
      <c r="K222">
        <v>3.2</v>
      </c>
      <c r="L222">
        <v>4</v>
      </c>
    </row>
    <row r="223" spans="1:12" x14ac:dyDescent="0.35">
      <c r="A223">
        <v>111</v>
      </c>
      <c r="B223" t="s">
        <v>51</v>
      </c>
      <c r="C223" t="s">
        <v>113</v>
      </c>
      <c r="D223" t="s">
        <v>27</v>
      </c>
      <c r="E223" t="s">
        <v>33</v>
      </c>
      <c r="F223">
        <v>21</v>
      </c>
      <c r="G223">
        <v>23.3</v>
      </c>
      <c r="H223">
        <v>2.2999999999999998</v>
      </c>
      <c r="I223" t="s">
        <v>32</v>
      </c>
      <c r="J223">
        <v>24.4</v>
      </c>
      <c r="K223">
        <v>3.4</v>
      </c>
      <c r="L223">
        <v>4</v>
      </c>
    </row>
    <row r="224" spans="1:12" x14ac:dyDescent="0.35">
      <c r="A224">
        <v>112</v>
      </c>
      <c r="B224" t="s">
        <v>53</v>
      </c>
      <c r="C224" t="s">
        <v>113</v>
      </c>
      <c r="D224" t="s">
        <v>23</v>
      </c>
      <c r="E224" t="s">
        <v>24</v>
      </c>
      <c r="F224">
        <v>22</v>
      </c>
      <c r="G224">
        <v>24.2</v>
      </c>
      <c r="H224">
        <v>2.2000000000000002</v>
      </c>
      <c r="I224" t="s">
        <v>32</v>
      </c>
      <c r="J224">
        <v>25.8</v>
      </c>
      <c r="K224">
        <v>3.8</v>
      </c>
      <c r="L224">
        <v>4</v>
      </c>
    </row>
    <row r="225" spans="1:12" x14ac:dyDescent="0.35">
      <c r="A225">
        <v>112</v>
      </c>
      <c r="B225" t="s">
        <v>53</v>
      </c>
      <c r="C225" t="s">
        <v>113</v>
      </c>
      <c r="D225" t="s">
        <v>27</v>
      </c>
      <c r="E225" t="s">
        <v>33</v>
      </c>
      <c r="F225">
        <v>25</v>
      </c>
      <c r="G225">
        <v>27.2</v>
      </c>
      <c r="H225">
        <v>2.2000000000000002</v>
      </c>
      <c r="I225" t="s">
        <v>32</v>
      </c>
      <c r="J225">
        <v>27.2</v>
      </c>
      <c r="K225">
        <v>2.2000000000000002</v>
      </c>
      <c r="L225">
        <v>4</v>
      </c>
    </row>
    <row r="226" spans="1:12" x14ac:dyDescent="0.35">
      <c r="A226">
        <v>113</v>
      </c>
      <c r="B226" t="s">
        <v>55</v>
      </c>
      <c r="C226" t="s">
        <v>113</v>
      </c>
      <c r="D226" t="s">
        <v>23</v>
      </c>
      <c r="E226" t="s">
        <v>33</v>
      </c>
      <c r="F226">
        <v>19</v>
      </c>
      <c r="G226">
        <v>22.8</v>
      </c>
      <c r="H226">
        <v>3.8</v>
      </c>
      <c r="I226" t="s">
        <v>26</v>
      </c>
      <c r="J226">
        <v>21.6</v>
      </c>
      <c r="K226">
        <v>2.6</v>
      </c>
      <c r="L226">
        <v>4</v>
      </c>
    </row>
    <row r="227" spans="1:12" x14ac:dyDescent="0.35">
      <c r="A227">
        <v>113</v>
      </c>
      <c r="B227" t="s">
        <v>55</v>
      </c>
      <c r="C227" t="s">
        <v>113</v>
      </c>
      <c r="D227" t="s">
        <v>27</v>
      </c>
      <c r="E227" t="s">
        <v>33</v>
      </c>
      <c r="F227">
        <v>22</v>
      </c>
      <c r="G227">
        <v>25.8</v>
      </c>
      <c r="H227">
        <v>3.8</v>
      </c>
      <c r="I227" t="s">
        <v>26</v>
      </c>
      <c r="J227">
        <v>24.8</v>
      </c>
      <c r="K227">
        <v>2.8</v>
      </c>
      <c r="L227">
        <v>4</v>
      </c>
    </row>
    <row r="228" spans="1:12" x14ac:dyDescent="0.35">
      <c r="A228">
        <v>114</v>
      </c>
      <c r="B228" t="s">
        <v>57</v>
      </c>
      <c r="C228" t="s">
        <v>113</v>
      </c>
      <c r="D228" t="s">
        <v>23</v>
      </c>
      <c r="E228" t="s">
        <v>33</v>
      </c>
      <c r="F228">
        <v>21</v>
      </c>
      <c r="G228" t="s">
        <v>149</v>
      </c>
      <c r="H228" t="s">
        <v>149</v>
      </c>
      <c r="I228" t="s">
        <v>26</v>
      </c>
      <c r="J228">
        <v>24</v>
      </c>
      <c r="K228">
        <v>3</v>
      </c>
      <c r="L228">
        <v>4</v>
      </c>
    </row>
    <row r="229" spans="1:12" x14ac:dyDescent="0.35">
      <c r="A229">
        <v>114</v>
      </c>
      <c r="B229" t="s">
        <v>57</v>
      </c>
      <c r="C229" t="s">
        <v>113</v>
      </c>
      <c r="D229" t="s">
        <v>27</v>
      </c>
      <c r="E229" t="s">
        <v>33</v>
      </c>
      <c r="F229">
        <v>24</v>
      </c>
      <c r="G229" t="s">
        <v>149</v>
      </c>
      <c r="H229" t="s">
        <v>149</v>
      </c>
      <c r="I229" t="s">
        <v>26</v>
      </c>
      <c r="J229">
        <v>27.2</v>
      </c>
      <c r="K229">
        <v>3.2</v>
      </c>
      <c r="L229">
        <v>4</v>
      </c>
    </row>
    <row r="230" spans="1:12" x14ac:dyDescent="0.35">
      <c r="A230">
        <v>115</v>
      </c>
      <c r="B230" t="s">
        <v>59</v>
      </c>
      <c r="C230" t="s">
        <v>113</v>
      </c>
      <c r="D230" t="s">
        <v>23</v>
      </c>
      <c r="E230" t="s">
        <v>33</v>
      </c>
      <c r="F230">
        <v>23</v>
      </c>
      <c r="G230">
        <v>23.6</v>
      </c>
      <c r="H230">
        <v>0.6</v>
      </c>
      <c r="I230" t="s">
        <v>25</v>
      </c>
      <c r="J230" t="s">
        <v>149</v>
      </c>
      <c r="K230" t="s">
        <v>149</v>
      </c>
      <c r="L230">
        <v>4</v>
      </c>
    </row>
    <row r="231" spans="1:12" x14ac:dyDescent="0.35">
      <c r="A231">
        <v>115</v>
      </c>
      <c r="B231" t="s">
        <v>59</v>
      </c>
      <c r="C231" t="s">
        <v>113</v>
      </c>
      <c r="D231" t="s">
        <v>27</v>
      </c>
      <c r="E231" t="s">
        <v>33</v>
      </c>
      <c r="F231">
        <v>20</v>
      </c>
      <c r="G231">
        <v>20.6</v>
      </c>
      <c r="H231">
        <v>0.6</v>
      </c>
      <c r="I231" t="s">
        <v>25</v>
      </c>
      <c r="J231" t="s">
        <v>149</v>
      </c>
      <c r="K231" t="s">
        <v>149</v>
      </c>
      <c r="L231">
        <v>4</v>
      </c>
    </row>
    <row r="232" spans="1:12" x14ac:dyDescent="0.35">
      <c r="A232">
        <v>116</v>
      </c>
      <c r="B232" t="s">
        <v>61</v>
      </c>
      <c r="C232" t="s">
        <v>113</v>
      </c>
      <c r="D232" t="s">
        <v>23</v>
      </c>
      <c r="E232" t="s">
        <v>33</v>
      </c>
      <c r="F232">
        <v>22</v>
      </c>
      <c r="G232">
        <v>26.2</v>
      </c>
      <c r="H232">
        <v>4.2</v>
      </c>
      <c r="I232" t="s">
        <v>32</v>
      </c>
      <c r="J232">
        <v>25.4</v>
      </c>
      <c r="K232">
        <v>3.4</v>
      </c>
      <c r="L232">
        <v>4</v>
      </c>
    </row>
    <row r="233" spans="1:12" x14ac:dyDescent="0.35">
      <c r="A233">
        <v>116</v>
      </c>
      <c r="B233" t="s">
        <v>61</v>
      </c>
      <c r="C233" t="s">
        <v>113</v>
      </c>
      <c r="D233" t="s">
        <v>27</v>
      </c>
      <c r="E233" t="s">
        <v>24</v>
      </c>
      <c r="F233">
        <v>19</v>
      </c>
      <c r="G233">
        <v>23.2</v>
      </c>
      <c r="H233">
        <v>4.2</v>
      </c>
      <c r="I233" t="s">
        <v>32</v>
      </c>
      <c r="J233">
        <v>22.8</v>
      </c>
      <c r="K233">
        <v>3.8</v>
      </c>
      <c r="L233">
        <v>4</v>
      </c>
    </row>
    <row r="234" spans="1:12" x14ac:dyDescent="0.35">
      <c r="A234">
        <v>117</v>
      </c>
      <c r="B234" t="s">
        <v>63</v>
      </c>
      <c r="C234" t="s">
        <v>113</v>
      </c>
      <c r="D234" t="s">
        <v>23</v>
      </c>
      <c r="E234" t="s">
        <v>33</v>
      </c>
      <c r="F234">
        <v>21</v>
      </c>
      <c r="G234">
        <v>23.1</v>
      </c>
      <c r="H234">
        <v>2.1</v>
      </c>
      <c r="I234" t="s">
        <v>26</v>
      </c>
      <c r="J234">
        <v>23.2</v>
      </c>
      <c r="K234">
        <v>2.2000000000000002</v>
      </c>
      <c r="L234">
        <v>4</v>
      </c>
    </row>
    <row r="235" spans="1:12" x14ac:dyDescent="0.35">
      <c r="A235">
        <v>117</v>
      </c>
      <c r="B235" t="s">
        <v>63</v>
      </c>
      <c r="C235" t="s">
        <v>113</v>
      </c>
      <c r="D235" t="s">
        <v>27</v>
      </c>
      <c r="E235" t="s">
        <v>24</v>
      </c>
      <c r="F235">
        <v>24</v>
      </c>
      <c r="G235">
        <v>26.1</v>
      </c>
      <c r="H235">
        <v>2.1</v>
      </c>
      <c r="I235" t="s">
        <v>26</v>
      </c>
      <c r="J235">
        <v>26.6</v>
      </c>
      <c r="K235">
        <v>2.6</v>
      </c>
      <c r="L235">
        <v>4</v>
      </c>
    </row>
    <row r="236" spans="1:12" x14ac:dyDescent="0.35">
      <c r="A236">
        <v>118</v>
      </c>
      <c r="B236" t="s">
        <v>65</v>
      </c>
      <c r="C236" t="s">
        <v>113</v>
      </c>
      <c r="D236" t="s">
        <v>23</v>
      </c>
      <c r="E236" t="s">
        <v>33</v>
      </c>
      <c r="F236">
        <v>20</v>
      </c>
      <c r="G236" t="s">
        <v>149</v>
      </c>
      <c r="H236" t="s">
        <v>149</v>
      </c>
      <c r="I236" t="s">
        <v>26</v>
      </c>
      <c r="J236">
        <v>22.8</v>
      </c>
      <c r="K236">
        <v>2.8</v>
      </c>
      <c r="L236">
        <v>4</v>
      </c>
    </row>
    <row r="237" spans="1:12" x14ac:dyDescent="0.35">
      <c r="A237">
        <v>118</v>
      </c>
      <c r="B237" t="s">
        <v>65</v>
      </c>
      <c r="C237" t="s">
        <v>113</v>
      </c>
      <c r="D237" t="s">
        <v>27</v>
      </c>
      <c r="E237" t="s">
        <v>24</v>
      </c>
      <c r="F237">
        <v>23</v>
      </c>
      <c r="G237" t="s">
        <v>149</v>
      </c>
      <c r="H237" t="s">
        <v>149</v>
      </c>
      <c r="I237" t="s">
        <v>26</v>
      </c>
      <c r="J237">
        <v>26</v>
      </c>
      <c r="K237">
        <v>3</v>
      </c>
      <c r="L237">
        <v>4</v>
      </c>
    </row>
    <row r="238" spans="1:12" x14ac:dyDescent="0.35">
      <c r="A238">
        <v>119</v>
      </c>
      <c r="B238" t="s">
        <v>67</v>
      </c>
      <c r="C238" t="s">
        <v>113</v>
      </c>
      <c r="D238" t="s">
        <v>23</v>
      </c>
      <c r="E238" t="s">
        <v>24</v>
      </c>
      <c r="F238">
        <v>22</v>
      </c>
      <c r="G238">
        <v>23.2</v>
      </c>
      <c r="H238">
        <v>1.2</v>
      </c>
      <c r="I238" t="s">
        <v>25</v>
      </c>
      <c r="J238" t="s">
        <v>149</v>
      </c>
      <c r="K238" t="s">
        <v>149</v>
      </c>
      <c r="L238">
        <v>4</v>
      </c>
    </row>
    <row r="239" spans="1:12" x14ac:dyDescent="0.35">
      <c r="A239">
        <v>119</v>
      </c>
      <c r="B239" t="s">
        <v>67</v>
      </c>
      <c r="C239" t="s">
        <v>113</v>
      </c>
      <c r="D239" t="s">
        <v>27</v>
      </c>
      <c r="E239" t="s">
        <v>33</v>
      </c>
      <c r="F239">
        <v>25</v>
      </c>
      <c r="G239">
        <v>26.2</v>
      </c>
      <c r="H239">
        <v>1.2</v>
      </c>
      <c r="I239" t="s">
        <v>25</v>
      </c>
      <c r="J239" t="s">
        <v>149</v>
      </c>
      <c r="K239" t="s">
        <v>149</v>
      </c>
      <c r="L239">
        <v>4</v>
      </c>
    </row>
    <row r="240" spans="1:12" x14ac:dyDescent="0.35">
      <c r="A240">
        <v>120</v>
      </c>
      <c r="B240" t="s">
        <v>69</v>
      </c>
      <c r="C240" t="s">
        <v>113</v>
      </c>
      <c r="D240" t="s">
        <v>23</v>
      </c>
      <c r="E240" t="s">
        <v>24</v>
      </c>
      <c r="F240">
        <v>24</v>
      </c>
      <c r="G240" t="s">
        <v>149</v>
      </c>
      <c r="H240" t="s">
        <v>149</v>
      </c>
      <c r="I240" t="s">
        <v>26</v>
      </c>
      <c r="J240">
        <v>27.2</v>
      </c>
      <c r="K240">
        <v>3.2</v>
      </c>
      <c r="L240">
        <v>4</v>
      </c>
    </row>
    <row r="241" spans="1:12" x14ac:dyDescent="0.35">
      <c r="A241">
        <v>120</v>
      </c>
      <c r="B241" t="s">
        <v>69</v>
      </c>
      <c r="C241" t="s">
        <v>113</v>
      </c>
      <c r="D241" t="s">
        <v>27</v>
      </c>
      <c r="E241" t="s">
        <v>24</v>
      </c>
      <c r="F241">
        <v>21</v>
      </c>
      <c r="G241" t="s">
        <v>149</v>
      </c>
      <c r="H241" t="s">
        <v>149</v>
      </c>
      <c r="I241" t="s">
        <v>26</v>
      </c>
      <c r="J241">
        <v>24.4</v>
      </c>
      <c r="K241">
        <v>3.4</v>
      </c>
      <c r="L2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C27" sqref="C27"/>
    </sheetView>
  </sheetViews>
  <sheetFormatPr baseColWidth="10" defaultColWidth="8.7265625" defaultRowHeight="14.5" x14ac:dyDescent="0.35"/>
  <cols>
    <col min="1" max="1" width="32.6328125" customWidth="1"/>
  </cols>
  <sheetData>
    <row r="1" spans="1:2" x14ac:dyDescent="0.35">
      <c r="A1" s="2" t="s">
        <v>114</v>
      </c>
      <c r="B1" s="2" t="s">
        <v>115</v>
      </c>
    </row>
    <row r="2" spans="1:2" x14ac:dyDescent="0.35">
      <c r="A2" t="s">
        <v>116</v>
      </c>
      <c r="B2">
        <v>120</v>
      </c>
    </row>
    <row r="3" spans="1:2" x14ac:dyDescent="0.35">
      <c r="A3" t="s">
        <v>153</v>
      </c>
      <c r="B3" s="4">
        <f>AVERAGE('[1]120_operations_crack_spalling'!U2:U121)</f>
        <v>30</v>
      </c>
    </row>
    <row r="4" spans="1:2" x14ac:dyDescent="0.35">
      <c r="A4" t="s">
        <v>154</v>
      </c>
      <c r="B4" s="4">
        <f>AVERAGE('[1]120_operations_crack_spalling'!V2:V121)</f>
        <v>17</v>
      </c>
    </row>
    <row r="5" spans="1:2" x14ac:dyDescent="0.35">
      <c r="A5" t="s">
        <v>155</v>
      </c>
      <c r="B5" s="4">
        <f>B3-B4</f>
        <v>13</v>
      </c>
    </row>
    <row r="6" spans="1:2" x14ac:dyDescent="0.35">
      <c r="A6" t="s">
        <v>117</v>
      </c>
      <c r="B6">
        <f>ROUND(B5/B3*100,1)</f>
        <v>43.3</v>
      </c>
    </row>
    <row r="7" spans="1:2" x14ac:dyDescent="0.35">
      <c r="A7" t="s">
        <v>118</v>
      </c>
      <c r="B7">
        <v>60</v>
      </c>
    </row>
    <row r="8" spans="1:2" x14ac:dyDescent="0.35">
      <c r="A8" t="s">
        <v>119</v>
      </c>
      <c r="B8">
        <v>38</v>
      </c>
    </row>
    <row r="9" spans="1:2" x14ac:dyDescent="0.35">
      <c r="A9" t="s">
        <v>120</v>
      </c>
      <c r="B9">
        <v>63.3</v>
      </c>
    </row>
    <row r="10" spans="1:2" x14ac:dyDescent="0.35">
      <c r="A10" t="s">
        <v>121</v>
      </c>
      <c r="B10">
        <v>24</v>
      </c>
    </row>
    <row r="11" spans="1:2" x14ac:dyDescent="0.35">
      <c r="A11" t="s">
        <v>122</v>
      </c>
      <c r="B11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E21" sqref="E21"/>
    </sheetView>
  </sheetViews>
  <sheetFormatPr baseColWidth="10" defaultColWidth="8.7265625" defaultRowHeight="14.5" x14ac:dyDescent="0.35"/>
  <cols>
    <col min="1" max="1" width="31.26953125" customWidth="1"/>
  </cols>
  <sheetData>
    <row r="1" spans="1:2" x14ac:dyDescent="0.35">
      <c r="A1" s="1" t="s">
        <v>123</v>
      </c>
      <c r="B1" s="1" t="s">
        <v>124</v>
      </c>
    </row>
    <row r="2" spans="1:2" x14ac:dyDescent="0.35">
      <c r="A2" t="s">
        <v>125</v>
      </c>
      <c r="B2" t="s">
        <v>126</v>
      </c>
    </row>
    <row r="3" spans="1:2" x14ac:dyDescent="0.35">
      <c r="A3" t="s">
        <v>127</v>
      </c>
      <c r="B3" t="s">
        <v>128</v>
      </c>
    </row>
    <row r="4" spans="1:2" x14ac:dyDescent="0.35">
      <c r="A4" t="s">
        <v>129</v>
      </c>
      <c r="B4" t="s">
        <v>130</v>
      </c>
    </row>
    <row r="5" spans="1:2" x14ac:dyDescent="0.35">
      <c r="A5" t="s">
        <v>131</v>
      </c>
      <c r="B5" t="s">
        <v>132</v>
      </c>
    </row>
    <row r="6" spans="1:2" x14ac:dyDescent="0.35">
      <c r="A6" t="s">
        <v>133</v>
      </c>
      <c r="B6" t="s">
        <v>134</v>
      </c>
    </row>
    <row r="7" spans="1:2" x14ac:dyDescent="0.35">
      <c r="A7" t="s">
        <v>135</v>
      </c>
      <c r="B7" t="s">
        <v>136</v>
      </c>
    </row>
    <row r="8" spans="1:2" x14ac:dyDescent="0.35">
      <c r="A8" t="s">
        <v>137</v>
      </c>
      <c r="B8" t="s">
        <v>156</v>
      </c>
    </row>
    <row r="9" spans="1:2" x14ac:dyDescent="0.35">
      <c r="A9" t="s">
        <v>138</v>
      </c>
      <c r="B9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120_operations_crack_spalling</vt:lpstr>
      <vt:lpstr>thickness</vt:lpstr>
      <vt:lpstr>Synthese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Oumaima TAYYARAT</cp:lastModifiedBy>
  <dcterms:created xsi:type="dcterms:W3CDTF">2026-08-26T11:32:18Z</dcterms:created>
  <dcterms:modified xsi:type="dcterms:W3CDTF">2026-10-14T15:21:17Z</dcterms:modified>
</cp:coreProperties>
</file>